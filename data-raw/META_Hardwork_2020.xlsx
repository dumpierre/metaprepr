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ropbox\- ES\- CURSOS\META\Materiais Curso ES RSMA\META_base\"/>
    </mc:Choice>
  </mc:AlternateContent>
  <xr:revisionPtr revIDLastSave="0" documentId="8_{E32D0A94-ABD3-4338-A333-961467769FBE}" xr6:coauthVersionLast="47" xr6:coauthVersionMax="47" xr10:uidLastSave="{00000000-0000-0000-0000-000000000000}"/>
  <bookViews>
    <workbookView xWindow="1152" yWindow="840" windowWidth="15804" windowHeight="12120" tabRatio="843" activeTab="2" xr2:uid="{00000000-000D-0000-FFFF-FFFF00000000}"/>
  </bookViews>
  <sheets>
    <sheet name="Atalhos" sheetId="12" r:id="rId1"/>
    <sheet name="Ponderação de valores" sheetId="7" r:id="rId2"/>
    <sheet name="IC 95 para SD" sheetId="9" r:id="rId3"/>
    <sheet name="SE para SD" sheetId="10" r:id="rId4"/>
    <sheet name="IQR para SD" sheetId="14" r:id="rId5"/>
    <sheet name="Imputaçao SD Delta" sheetId="6" r:id="rId6"/>
    <sheet name="Distribuição de comparador" sheetId="8" r:id="rId7"/>
    <sheet name="Análise" sheetId="11" r:id="rId8"/>
  </sheets>
  <calcPr calcId="181029"/>
  <fileRecoveryPr repairLoad="1"/>
</workbook>
</file>

<file path=xl/calcChain.xml><?xml version="1.0" encoding="utf-8"?>
<calcChain xmlns="http://schemas.openxmlformats.org/spreadsheetml/2006/main">
  <c r="B64" i="7" l="1"/>
  <c r="B63" i="7"/>
  <c r="B51" i="7"/>
  <c r="B50" i="7"/>
  <c r="B38" i="7"/>
  <c r="B37" i="7"/>
  <c r="B25" i="7"/>
  <c r="B24" i="7"/>
  <c r="B11" i="7" l="1"/>
  <c r="B12" i="7"/>
  <c r="H8" i="9" l="1"/>
  <c r="K8" i="9"/>
  <c r="H12" i="9"/>
  <c r="K12" i="9"/>
  <c r="H20" i="9"/>
  <c r="K20" i="9"/>
  <c r="H24" i="9"/>
  <c r="K24" i="9"/>
  <c r="E20" i="14"/>
  <c r="B20" i="14"/>
  <c r="E17" i="14"/>
  <c r="B17" i="14"/>
  <c r="E11" i="14"/>
  <c r="E8" i="14"/>
  <c r="B11" i="14"/>
  <c r="H26" i="9" l="1"/>
  <c r="K14" i="9"/>
  <c r="H14" i="9"/>
  <c r="K26" i="9"/>
  <c r="B8" i="14"/>
  <c r="E14" i="8" l="1"/>
  <c r="E13" i="8"/>
  <c r="E12" i="8"/>
  <c r="E8" i="9"/>
  <c r="E20" i="9"/>
  <c r="B20" i="9"/>
  <c r="B8" i="9"/>
  <c r="H28" i="8" l="1"/>
  <c r="H27" i="8"/>
  <c r="H26" i="8"/>
  <c r="E28" i="8"/>
  <c r="E27" i="8"/>
  <c r="E26" i="8"/>
  <c r="B27" i="8"/>
  <c r="B28" i="8"/>
  <c r="B12" i="8"/>
  <c r="B26" i="8"/>
  <c r="E20" i="10"/>
  <c r="E22" i="10" s="1"/>
  <c r="E10" i="10"/>
  <c r="E12" i="10" s="1"/>
  <c r="B20" i="10"/>
  <c r="B22" i="10" s="1"/>
  <c r="B10" i="10"/>
  <c r="B12" i="10" s="1"/>
  <c r="E24" i="9"/>
  <c r="B24" i="9"/>
  <c r="E12" i="9"/>
  <c r="B12" i="9"/>
  <c r="B14" i="9" s="1"/>
  <c r="B13" i="8"/>
  <c r="B14" i="8"/>
  <c r="H14" i="8"/>
  <c r="H13" i="8"/>
  <c r="H12" i="8"/>
  <c r="C14" i="6"/>
  <c r="L46" i="6" s="1"/>
  <c r="L49" i="6" s="1"/>
  <c r="A14" i="6"/>
  <c r="N46" i="6" l="1"/>
  <c r="N49" i="6" s="1"/>
  <c r="F14" i="6"/>
  <c r="E26" i="9"/>
  <c r="H46" i="6"/>
  <c r="H49" i="6" s="1"/>
  <c r="L14" i="6"/>
  <c r="L17" i="6" s="1"/>
  <c r="L30" i="6"/>
  <c r="L33" i="6" s="1"/>
  <c r="P46" i="6"/>
  <c r="P49" i="6" s="1"/>
  <c r="P14" i="6"/>
  <c r="P17" i="6" s="1"/>
  <c r="P30" i="6"/>
  <c r="P33" i="6" s="1"/>
  <c r="H14" i="6"/>
  <c r="H17" i="6" s="1"/>
  <c r="H30" i="6"/>
  <c r="H33" i="6" s="1"/>
  <c r="J14" i="6"/>
  <c r="J17" i="6" s="1"/>
  <c r="N14" i="6"/>
  <c r="N17" i="6" s="1"/>
  <c r="J46" i="6"/>
  <c r="J49" i="6" s="1"/>
  <c r="F30" i="6"/>
  <c r="F33" i="6" s="1"/>
  <c r="N30" i="6"/>
  <c r="N33" i="6" s="1"/>
  <c r="J30" i="6"/>
  <c r="J33" i="6" s="1"/>
  <c r="F17" i="6"/>
  <c r="F46" i="6"/>
  <c r="F49" i="6" s="1"/>
  <c r="B26" i="9"/>
  <c r="E14" i="9"/>
</calcChain>
</file>

<file path=xl/sharedStrings.xml><?xml version="1.0" encoding="utf-8"?>
<sst xmlns="http://schemas.openxmlformats.org/spreadsheetml/2006/main" count="422" uniqueCount="127">
  <si>
    <t>SD1 (pre)</t>
  </si>
  <si>
    <t>SD2 (post)</t>
  </si>
  <si>
    <t>SD3 (change)</t>
  </si>
  <si>
    <t>Correlação</t>
  </si>
  <si>
    <t>GRUPO CONTROLE</t>
  </si>
  <si>
    <t>SD Imputado</t>
  </si>
  <si>
    <t xml:space="preserve">Imputaçao SD - Church (JAMA 2010) como referência </t>
  </si>
  <si>
    <t>Upper limit</t>
  </si>
  <si>
    <t>Lower limit</t>
  </si>
  <si>
    <t>Resultado</t>
  </si>
  <si>
    <t>Raiz N</t>
  </si>
  <si>
    <t>N</t>
  </si>
  <si>
    <t>SD a partir IC95%</t>
  </si>
  <si>
    <t>Média ponderada é</t>
  </si>
  <si>
    <t>Estudo</t>
  </si>
  <si>
    <t>N total</t>
  </si>
  <si>
    <t>N grupo controle</t>
  </si>
  <si>
    <t>N intervenção 1</t>
  </si>
  <si>
    <t>N intervenção 2</t>
  </si>
  <si>
    <t>N intervenção 3</t>
  </si>
  <si>
    <t>Controle vs. Interv. 1</t>
  </si>
  <si>
    <t>Controle vs. Interv. 2</t>
  </si>
  <si>
    <t>Controle vs. Interv. 3</t>
  </si>
  <si>
    <t>Distribuição do grupo controle</t>
  </si>
  <si>
    <t>DIGITAR NAS CÉLULAS MARCADAS EM AMARELO</t>
  </si>
  <si>
    <t>Grupo EXPERIMENTAL</t>
  </si>
  <si>
    <t>Grupo CONTROLE</t>
  </si>
  <si>
    <t>SD's IMPUTADOS (usar na análise)</t>
  </si>
  <si>
    <t>Dispersão ponderada é</t>
  </si>
  <si>
    <t>Diferença Limites Superior e Inferior</t>
  </si>
  <si>
    <t>Valor do Erro Padrão</t>
  </si>
  <si>
    <t>Erro padrão</t>
  </si>
  <si>
    <t>Resultado Raiz</t>
  </si>
  <si>
    <t>SD a partir do SE</t>
  </si>
  <si>
    <t>?</t>
  </si>
  <si>
    <t>N-exp</t>
  </si>
  <si>
    <t>SD</t>
  </si>
  <si>
    <t>Aero</t>
  </si>
  <si>
    <t>Musc</t>
  </si>
  <si>
    <t>Combo</t>
  </si>
  <si>
    <t>GRUPO EXP - COMBO</t>
  </si>
  <si>
    <t>Grupo COMBO</t>
  </si>
  <si>
    <t>***Identifique o estudo e grupo</t>
  </si>
  <si>
    <r>
      <rPr>
        <b/>
        <i/>
        <sz val="12"/>
        <color rgb="FFFFFF00"/>
        <rFont val="Arial"/>
        <family val="2"/>
      </rPr>
      <t>DIGITE</t>
    </r>
    <r>
      <rPr>
        <i/>
        <sz val="12"/>
        <color theme="0"/>
        <rFont val="Arial"/>
        <family val="2"/>
      </rPr>
      <t xml:space="preserve"> NAS </t>
    </r>
    <r>
      <rPr>
        <b/>
        <i/>
        <sz val="12"/>
        <color rgb="FFFFFF00"/>
        <rFont val="Arial"/>
        <family val="2"/>
      </rPr>
      <t>CÉLULAS</t>
    </r>
    <r>
      <rPr>
        <i/>
        <sz val="12"/>
        <color theme="0"/>
        <rFont val="Arial"/>
        <family val="2"/>
      </rPr>
      <t xml:space="preserve"> MARCADAS EM </t>
    </r>
    <r>
      <rPr>
        <b/>
        <i/>
        <sz val="12"/>
        <color rgb="FFFFFF00"/>
        <rFont val="Arial"/>
        <family val="2"/>
      </rPr>
      <t>AMARELO</t>
    </r>
  </si>
  <si>
    <t>Imputaçao SD - ***Identifique o estudo</t>
  </si>
  <si>
    <t>Media-EXP</t>
  </si>
  <si>
    <t>DP-EXP</t>
  </si>
  <si>
    <t>Media-CON</t>
  </si>
  <si>
    <t>DP-CON</t>
  </si>
  <si>
    <t>N-CON</t>
  </si>
  <si>
    <t>Observação/estudo</t>
  </si>
  <si>
    <r>
      <rPr>
        <b/>
        <sz val="10"/>
        <color rgb="FFFFFF00"/>
        <rFont val="Arial"/>
        <family val="2"/>
      </rPr>
      <t>DIGITAR</t>
    </r>
    <r>
      <rPr>
        <b/>
        <sz val="10"/>
        <color theme="0"/>
        <rFont val="Arial"/>
        <family val="2"/>
      </rPr>
      <t xml:space="preserve"> NAS </t>
    </r>
    <r>
      <rPr>
        <b/>
        <sz val="10"/>
        <color rgb="FFFFFF00"/>
        <rFont val="Arial"/>
        <family val="2"/>
      </rPr>
      <t>CÉLULAS</t>
    </r>
    <r>
      <rPr>
        <b/>
        <sz val="10"/>
        <color theme="0"/>
        <rFont val="Arial"/>
        <family val="2"/>
      </rPr>
      <t xml:space="preserve"> MARCADAS EM</t>
    </r>
    <r>
      <rPr>
        <b/>
        <sz val="10"/>
        <color rgb="FFFFFF00"/>
        <rFont val="Arial"/>
        <family val="2"/>
      </rPr>
      <t xml:space="preserve"> AMARELO</t>
    </r>
  </si>
  <si>
    <r>
      <rPr>
        <b/>
        <i/>
        <sz val="10"/>
        <color theme="1"/>
        <rFont val="Arial"/>
        <family val="2"/>
      </rPr>
      <t>Explicação</t>
    </r>
    <r>
      <rPr>
        <i/>
        <sz val="10"/>
        <color theme="1"/>
        <rFont val="Arial"/>
        <family val="2"/>
      </rPr>
      <t xml:space="preserve">: Juntamente com a diferença das médias (DELTA), a medida de dispersão do DELTA deve ser usada na metanálise de dados contínuos. Quando o estudo não mostra esse valor, devemos imputar o DESVIO PADRÃO (DP) DO DELTA. Para isso… </t>
    </r>
    <r>
      <rPr>
        <b/>
        <i/>
        <u/>
        <sz val="10"/>
        <color theme="1"/>
        <rFont val="Arial"/>
        <family val="2"/>
      </rPr>
      <t>Passo 1</t>
    </r>
    <r>
      <rPr>
        <i/>
        <sz val="10"/>
        <color theme="1"/>
        <rFont val="Arial"/>
        <family val="2"/>
      </rPr>
      <t xml:space="preserve">: ter um estudo de "referência" que disponibilize as dispersões da média inicial, final, e do delta. Esse estudo gera coeficiente de correlação que será usado para estimar todos os outros DPs dos DELTA, respectivamente, em grupos experimental e controle.  </t>
    </r>
    <r>
      <rPr>
        <b/>
        <i/>
        <u/>
        <sz val="10"/>
        <color theme="1"/>
        <rFont val="Arial"/>
        <family val="2"/>
      </rPr>
      <t>Passo 2</t>
    </r>
    <r>
      <rPr>
        <i/>
        <sz val="10"/>
        <color theme="1"/>
        <rFont val="Arial"/>
        <family val="2"/>
      </rPr>
      <t>: com o coeficiente de correlação já calculado, inserir DPs das médias inicial e final de cada estudo que deve ter a imputação do DP do DELTA.</t>
    </r>
  </si>
  <si>
    <r>
      <rPr>
        <b/>
        <sz val="9"/>
        <color theme="1"/>
        <rFont val="Calibri"/>
        <family val="2"/>
        <scheme val="minor"/>
      </rPr>
      <t>Atenção</t>
    </r>
    <r>
      <rPr>
        <sz val="9"/>
        <color theme="1"/>
        <rFont val="Calibri"/>
        <family val="2"/>
        <scheme val="minor"/>
      </rPr>
      <t xml:space="preserve">: se o ESTUDO possuir mais de 2 grupos, ou ainda análises estratificadas, é muito provável que haverá mais do que uma comparação para um único estudo. 
</t>
    </r>
    <r>
      <rPr>
        <u/>
        <sz val="9"/>
        <color theme="1"/>
        <rFont val="Calibri"/>
        <family val="2"/>
        <scheme val="minor"/>
      </rPr>
      <t>Exemplo</t>
    </r>
    <r>
      <rPr>
        <sz val="9"/>
        <color theme="1"/>
        <rFont val="Calibri"/>
        <family val="2"/>
        <scheme val="minor"/>
      </rPr>
      <t xml:space="preserve">: estudo com 3 grupos comparados de forma simples pode gerar a comparação do </t>
    </r>
    <r>
      <rPr>
        <u/>
        <sz val="9"/>
        <color theme="1"/>
        <rFont val="Calibri"/>
        <family val="2"/>
        <scheme val="minor"/>
      </rPr>
      <t xml:space="preserve">grupo 1 </t>
    </r>
    <r>
      <rPr>
        <i/>
        <u/>
        <sz val="9"/>
        <color theme="1"/>
        <rFont val="Calibri"/>
        <family val="2"/>
        <scheme val="minor"/>
      </rPr>
      <t xml:space="preserve">versus </t>
    </r>
    <r>
      <rPr>
        <u/>
        <sz val="9"/>
        <color theme="1"/>
        <rFont val="Calibri"/>
        <family val="2"/>
        <scheme val="minor"/>
      </rPr>
      <t>grupo 2</t>
    </r>
    <r>
      <rPr>
        <sz val="9"/>
        <color theme="1"/>
        <rFont val="Calibri"/>
        <family val="2"/>
        <scheme val="minor"/>
      </rPr>
      <t xml:space="preserve">, </t>
    </r>
    <r>
      <rPr>
        <u/>
        <sz val="9"/>
        <color theme="1"/>
        <rFont val="Calibri"/>
        <family val="2"/>
        <scheme val="minor"/>
      </rPr>
      <t xml:space="preserve">grupo 1 </t>
    </r>
    <r>
      <rPr>
        <i/>
        <u/>
        <sz val="9"/>
        <color theme="1"/>
        <rFont val="Calibri"/>
        <family val="2"/>
        <scheme val="minor"/>
      </rPr>
      <t>versus</t>
    </r>
    <r>
      <rPr>
        <u/>
        <sz val="9"/>
        <color theme="1"/>
        <rFont val="Calibri"/>
        <family val="2"/>
        <scheme val="minor"/>
      </rPr>
      <t xml:space="preserve"> grupo 3</t>
    </r>
    <r>
      <rPr>
        <sz val="9"/>
        <color theme="1"/>
        <rFont val="Calibri"/>
        <family val="2"/>
        <scheme val="minor"/>
      </rPr>
      <t xml:space="preserve">, e também </t>
    </r>
    <r>
      <rPr>
        <i/>
        <u/>
        <sz val="9"/>
        <color theme="1"/>
        <rFont val="Calibri"/>
        <family val="2"/>
        <scheme val="minor"/>
      </rPr>
      <t xml:space="preserve">grupo 2 </t>
    </r>
    <r>
      <rPr>
        <u/>
        <sz val="9"/>
        <color theme="1"/>
        <rFont val="Calibri"/>
        <family val="2"/>
        <scheme val="minor"/>
      </rPr>
      <t xml:space="preserve">versus </t>
    </r>
    <r>
      <rPr>
        <i/>
        <u/>
        <sz val="9"/>
        <color theme="1"/>
        <rFont val="Calibri"/>
        <family val="2"/>
        <scheme val="minor"/>
      </rPr>
      <t>grupo 3</t>
    </r>
    <r>
      <rPr>
        <i/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Calibri"/>
        <family val="2"/>
        <scheme val="minor"/>
      </rPr>
      <t>Isto resultará em diferentes "linhas" de comparação.</t>
    </r>
  </si>
  <si>
    <t>Exemplo</t>
  </si>
  <si>
    <t>Fórmula de imputação (Corr = Coeficiente de correlação a partir do estudo de referência)</t>
  </si>
  <si>
    <t>Calcular médias de grupos</t>
  </si>
  <si>
    <t>Dividir o grupo de comparação</t>
  </si>
  <si>
    <t xml:space="preserve">Desfecho: </t>
  </si>
  <si>
    <t>Grupos experimentais:</t>
  </si>
  <si>
    <t>Grupos de comparação:</t>
  </si>
  <si>
    <t>Comentários:</t>
  </si>
  <si>
    <t>Imputar um desvio padrão de delta</t>
  </si>
  <si>
    <t>Registrar os dados para análise</t>
  </si>
  <si>
    <t>Imputaçao SD - Sigal, Combined</t>
  </si>
  <si>
    <t>Imputaçao SD - Sigal, Aero</t>
  </si>
  <si>
    <t>Imputaçao SD - Sigal, Resistance</t>
  </si>
  <si>
    <t>N (amostra) Grupo 1</t>
  </si>
  <si>
    <t>N (amostra) Grupo 2</t>
  </si>
  <si>
    <t>N (amostra) Grupo 3</t>
  </si>
  <si>
    <t>N (amostra) Grupo 4</t>
  </si>
  <si>
    <t>Valor grupo 1 (ex., média)</t>
  </si>
  <si>
    <t>Valor grupo 2 (ex., média)</t>
  </si>
  <si>
    <t>Valor grupo 3 (ex., média)</t>
  </si>
  <si>
    <t>Valor grupo 4 (ex., média)</t>
  </si>
  <si>
    <t>Dispersão do valor acima</t>
  </si>
  <si>
    <t>Exemplo, Church - Grupo Controle</t>
  </si>
  <si>
    <t>Exemplo, Church, Resistance</t>
  </si>
  <si>
    <t>Exemplo, Church, Aerobic</t>
  </si>
  <si>
    <t>Exemplo, Church, Combined</t>
  </si>
  <si>
    <r>
      <rPr>
        <b/>
        <sz val="11"/>
        <color rgb="FFFF0000"/>
        <rFont val="Calibri"/>
        <family val="2"/>
        <scheme val="minor"/>
      </rPr>
      <t>Amplitude</t>
    </r>
    <r>
      <rPr>
        <b/>
        <sz val="11"/>
        <color theme="1"/>
        <rFont val="Calibri"/>
        <family val="2"/>
        <scheme val="minor"/>
      </rPr>
      <t xml:space="preserve"> entre Limites Superior e Inferior</t>
    </r>
  </si>
  <si>
    <t xml:space="preserve">Amplitude </t>
  </si>
  <si>
    <t>SD a partir do IQR</t>
  </si>
  <si>
    <t>Transformar o intervalo interquartil (IQR) para desvio padrão</t>
  </si>
  <si>
    <t>Transformar o erro padrão (EP) para desvio padrão</t>
  </si>
  <si>
    <t>Transformar o intervalo de confiança (IC 95%) para desvio padrão</t>
  </si>
  <si>
    <t>Clique na operação de interesse</t>
  </si>
  <si>
    <t xml:space="preserve">https://home.ubalt.edu/ntsbarsh/business-stat/otherapplets/Pooled.htm </t>
  </si>
  <si>
    <t xml:space="preserve">http://www.talkstats.com/threads/an-average-of-standard-deviations.14523/ </t>
  </si>
  <si>
    <t xml:space="preserve">http://atozmath.com/CONM/Ch2_CombinedSD.aspx#tblSolution </t>
  </si>
  <si>
    <t xml:space="preserve">https://handbook-5-1.cochrane.org/chapter_7/7_7_3_8_combining_groups.htm </t>
  </si>
  <si>
    <t xml:space="preserve">N agrupado (amostra) Grupos 1 + 2  </t>
  </si>
  <si>
    <r>
      <t xml:space="preserve">Deseja agrupar </t>
    </r>
    <r>
      <rPr>
        <b/>
        <sz val="11"/>
        <color rgb="FFFFFF00"/>
        <rFont val="Arial"/>
        <family val="2"/>
      </rPr>
      <t>três</t>
    </r>
    <r>
      <rPr>
        <sz val="11"/>
        <color theme="0"/>
        <rFont val="Arial"/>
        <family val="2"/>
      </rPr>
      <t xml:space="preserve"> valores?</t>
    </r>
  </si>
  <si>
    <r>
      <t xml:space="preserve">Deseja agrupar </t>
    </r>
    <r>
      <rPr>
        <b/>
        <sz val="11"/>
        <color rgb="FFFFFF00"/>
        <rFont val="Arial"/>
        <family val="2"/>
      </rPr>
      <t>quatro</t>
    </r>
    <r>
      <rPr>
        <sz val="11"/>
        <color theme="0"/>
        <rFont val="Arial"/>
        <family val="2"/>
      </rPr>
      <t xml:space="preserve"> valores?</t>
    </r>
  </si>
  <si>
    <t>Combine os resultados dos grupos "1 + 2" acima (média e dispersãoponderadas) + dados do Grupo 3</t>
  </si>
  <si>
    <t>Combine os resultados dos grupos "1 + 2 + 3" acima (média e dispersão ponderadas) + dados do Grupo 4</t>
  </si>
  <si>
    <t>N agrupado (amostra) Grupos 1 + 2 + 3</t>
  </si>
  <si>
    <t>N (amostra) Grupo 5</t>
  </si>
  <si>
    <t>Combinação ponderada de dois grupos (valores)</t>
  </si>
  <si>
    <t xml:space="preserve">N agrupado (amostra) Grupos 1 + 2 + 3 + 4 </t>
  </si>
  <si>
    <t>Valor ponderado (ex., média)</t>
  </si>
  <si>
    <t>Valor grupo 5 (ex., média)</t>
  </si>
  <si>
    <r>
      <t xml:space="preserve">Deseja agrupar </t>
    </r>
    <r>
      <rPr>
        <b/>
        <sz val="11"/>
        <color rgb="FFFFFF00"/>
        <rFont val="Arial"/>
        <family val="2"/>
      </rPr>
      <t>cinco</t>
    </r>
    <r>
      <rPr>
        <sz val="11"/>
        <color theme="0"/>
        <rFont val="Arial"/>
        <family val="2"/>
      </rPr>
      <t xml:space="preserve"> valores?</t>
    </r>
  </si>
  <si>
    <r>
      <t xml:space="preserve">Deseja agrupar </t>
    </r>
    <r>
      <rPr>
        <b/>
        <sz val="11"/>
        <color rgb="FFFFFF00"/>
        <rFont val="Arial"/>
        <family val="2"/>
      </rPr>
      <t>seis</t>
    </r>
    <r>
      <rPr>
        <sz val="11"/>
        <color theme="0"/>
        <rFont val="Arial"/>
        <family val="2"/>
      </rPr>
      <t xml:space="preserve"> valores?</t>
    </r>
  </si>
  <si>
    <t>Combine os resultados dos grupos "1 + 2 + 3 + 4" acima (média e dispersão ponderadas) + dados do Grupo 5</t>
  </si>
  <si>
    <t>Combine os resultados dos grupos "1 + 2 + 3 + 4 + 5" acima (média e dispersão ponderadas) + dados do Grupo 6</t>
  </si>
  <si>
    <t>Valor grupo 6 (ex., média)</t>
  </si>
  <si>
    <t>N (amostra) Grupo 6</t>
  </si>
  <si>
    <t>N agrupado (amostra) Grupos 1 + 2 + 3 + 4 + 5</t>
  </si>
  <si>
    <t xml:space="preserve">https://handbook-5-1.cochrane.org/chapter_7/table_7_7_a_formulae_for_combining_groups.htm </t>
  </si>
  <si>
    <t>HbA1C</t>
  </si>
  <si>
    <t>Treinamento de força, aeróbico, combinado</t>
  </si>
  <si>
    <t>Controle sem exercício</t>
  </si>
  <si>
    <t>Church_AERvs.Cont</t>
  </si>
  <si>
    <t>Church_COMBvs.Cont</t>
  </si>
  <si>
    <t>Church_RESvs.Cont</t>
  </si>
  <si>
    <t>Sigal_AERvsCont</t>
  </si>
  <si>
    <t>Sigal_RESvsCont</t>
  </si>
  <si>
    <t>Sigal_COMBvsCont</t>
  </si>
  <si>
    <t>Churc, 2010</t>
  </si>
  <si>
    <t>Em amostras grandes e com distribuição da variável com distribuição similar à normal, o intervalo interquartil (IQR) será aproximadamente 1,35 desvios padrões (DP). 
Portanto, a conversão de IQR para DP, será:
Valor max- valor min do IQ/1,35</t>
  </si>
  <si>
    <t xml:space="preserve">https://stats.stackexchange.com/questions/256456/how-to-calculate-mean-and-sd-from-quartiles  </t>
  </si>
  <si>
    <t xml:space="preserve">https://handbook-5-1.cochrane.org/chapter_7/7_7_3_5_mediansand_interquartile_ranges.htm </t>
  </si>
  <si>
    <t>Fontes úteis:</t>
  </si>
  <si>
    <t>Outras fontes:</t>
  </si>
  <si>
    <t>https://training.cochrane.org/handbook/current/chapter-23#section-23-3-4</t>
  </si>
  <si>
    <t>Fonte útil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</si>
</sst>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3"/>
      <color theme="1"/>
      <name val="Arial"/>
      <family val="2"/>
    </font>
    <font>
      <i/>
      <sz val="8"/>
      <color theme="1"/>
      <name val="Arial"/>
      <family val="2"/>
    </font>
    <font>
      <b/>
      <i/>
      <sz val="11"/>
      <color theme="0"/>
      <name val="Arial"/>
      <family val="2"/>
    </font>
    <font>
      <b/>
      <sz val="12"/>
      <color theme="3" tint="-0.249977111117893"/>
      <name val="Calibri"/>
      <family val="2"/>
      <scheme val="minor"/>
    </font>
    <font>
      <i/>
      <sz val="12"/>
      <color theme="0"/>
      <name val="Arial"/>
      <family val="2"/>
    </font>
    <font>
      <b/>
      <i/>
      <sz val="12"/>
      <color rgb="FFFFFF00"/>
      <name val="Arial"/>
      <family val="2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5" tint="-0.249977111117893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i/>
      <sz val="10"/>
      <color rgb="FF254061"/>
      <name val="Arial"/>
      <family val="2"/>
    </font>
    <font>
      <sz val="10"/>
      <color indexed="8"/>
      <name val="Arial"/>
      <family val="2"/>
    </font>
    <font>
      <b/>
      <sz val="10"/>
      <color rgb="FFFFFF00"/>
      <name val="Arial"/>
      <family val="2"/>
    </font>
    <font>
      <b/>
      <sz val="11"/>
      <color theme="3"/>
      <name val="Arial"/>
      <family val="2"/>
    </font>
    <font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i/>
      <sz val="9"/>
      <color theme="0"/>
      <name val="Arial"/>
      <family val="2"/>
    </font>
    <font>
      <b/>
      <i/>
      <sz val="12"/>
      <color theme="3" tint="-0.249977111117893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rgb="FF0000FF"/>
      <name val="Calibri"/>
      <family val="2"/>
    </font>
    <font>
      <b/>
      <sz val="12"/>
      <name val="Calibri"/>
      <family val="2"/>
      <scheme val="minor"/>
    </font>
    <font>
      <b/>
      <u/>
      <sz val="12"/>
      <color rgb="FF0000FF"/>
      <name val="Arial"/>
      <family val="2"/>
    </font>
    <font>
      <b/>
      <sz val="24"/>
      <color theme="1"/>
      <name val="Arial"/>
      <family val="2"/>
    </font>
    <font>
      <i/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FFF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3" fillId="0" borderId="0" applyNumberFormat="0" applyFill="0" applyBorder="0" applyAlignment="0" applyProtection="0">
      <alignment vertical="top"/>
      <protection locked="0"/>
    </xf>
  </cellStyleXfs>
  <cellXfs count="177">
    <xf numFmtId="0" fontId="0" fillId="0" borderId="0" xfId="0"/>
    <xf numFmtId="0" fontId="0" fillId="0" borderId="0" xfId="0" applyFill="1" applyBorder="1"/>
    <xf numFmtId="0" fontId="5" fillId="0" borderId="0" xfId="0" applyFont="1"/>
    <xf numFmtId="0" fontId="0" fillId="0" borderId="1" xfId="0" applyBorder="1"/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2" borderId="1" xfId="0" applyFont="1" applyFill="1" applyBorder="1" applyAlignment="1">
      <alignment horizontal="center"/>
    </xf>
    <xf numFmtId="0" fontId="7" fillId="0" borderId="0" xfId="0" applyFont="1" applyFill="1"/>
    <xf numFmtId="0" fontId="0" fillId="0" borderId="7" xfId="0" applyBorder="1"/>
    <xf numFmtId="0" fontId="2" fillId="0" borderId="7" xfId="0" applyFont="1" applyFill="1" applyBorder="1"/>
    <xf numFmtId="0" fontId="2" fillId="0" borderId="8" xfId="0" applyFont="1" applyFill="1" applyBorder="1"/>
    <xf numFmtId="0" fontId="7" fillId="2" borderId="7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8" fillId="0" borderId="5" xfId="0" applyFont="1" applyBorder="1"/>
    <xf numFmtId="0" fontId="8" fillId="0" borderId="9" xfId="0" applyFont="1" applyBorder="1"/>
    <xf numFmtId="2" fontId="9" fillId="0" borderId="6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0" fillId="2" borderId="8" xfId="0" applyFill="1" applyBorder="1"/>
    <xf numFmtId="0" fontId="0" fillId="0" borderId="17" xfId="0" applyBorder="1"/>
    <xf numFmtId="0" fontId="0" fillId="0" borderId="18" xfId="0" applyBorder="1"/>
    <xf numFmtId="0" fontId="4" fillId="0" borderId="9" xfId="0" applyFont="1" applyBorder="1" applyAlignment="1">
      <alignment horizontal="center"/>
    </xf>
    <xf numFmtId="2" fontId="4" fillId="0" borderId="11" xfId="0" applyNumberFormat="1" applyFont="1" applyBorder="1"/>
    <xf numFmtId="2" fontId="2" fillId="0" borderId="8" xfId="0" applyNumberFormat="1" applyFont="1" applyFill="1" applyBorder="1"/>
    <xf numFmtId="0" fontId="0" fillId="2" borderId="1" xfId="0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0" xfId="0" applyFont="1" applyFill="1" applyBorder="1"/>
    <xf numFmtId="2" fontId="0" fillId="0" borderId="0" xfId="0" applyNumberFormat="1" applyFill="1" applyBorder="1"/>
    <xf numFmtId="0" fontId="4" fillId="0" borderId="0" xfId="0" applyFont="1" applyFill="1" applyBorder="1"/>
    <xf numFmtId="0" fontId="7" fillId="9" borderId="0" xfId="0" applyFont="1" applyFill="1"/>
    <xf numFmtId="0" fontId="20" fillId="0" borderId="0" xfId="0" applyFont="1" applyFill="1" applyAlignment="1">
      <alignment vertical="center" wrapText="1"/>
    </xf>
    <xf numFmtId="0" fontId="23" fillId="0" borderId="0" xfId="0" applyFont="1"/>
    <xf numFmtId="0" fontId="23" fillId="0" borderId="7" xfId="0" applyFont="1" applyBorder="1"/>
    <xf numFmtId="0" fontId="23" fillId="2" borderId="8" xfId="0" applyFont="1" applyFill="1" applyBorder="1"/>
    <xf numFmtId="0" fontId="23" fillId="0" borderId="17" xfId="0" applyFont="1" applyBorder="1"/>
    <xf numFmtId="0" fontId="23" fillId="0" borderId="18" xfId="0" applyFont="1" applyBorder="1"/>
    <xf numFmtId="0" fontId="24" fillId="0" borderId="7" xfId="0" applyFont="1" applyFill="1" applyBorder="1"/>
    <xf numFmtId="2" fontId="20" fillId="0" borderId="8" xfId="0" applyNumberFormat="1" applyFont="1" applyFill="1" applyBorder="1"/>
    <xf numFmtId="0" fontId="25" fillId="0" borderId="9" xfId="0" applyFont="1" applyBorder="1" applyAlignment="1">
      <alignment horizontal="center"/>
    </xf>
    <xf numFmtId="2" fontId="25" fillId="0" borderId="11" xfId="0" applyNumberFormat="1" applyFont="1" applyBorder="1"/>
    <xf numFmtId="0" fontId="26" fillId="0" borderId="0" xfId="0" applyFont="1" applyFill="1" applyBorder="1" applyAlignment="1"/>
    <xf numFmtId="0" fontId="26" fillId="0" borderId="0" xfId="0" applyFont="1" applyFill="1" applyBorder="1"/>
    <xf numFmtId="0" fontId="23" fillId="0" borderId="0" xfId="0" applyFont="1" applyBorder="1"/>
    <xf numFmtId="0" fontId="28" fillId="6" borderId="7" xfId="0" applyFont="1" applyFill="1" applyBorder="1"/>
    <xf numFmtId="0" fontId="29" fillId="6" borderId="1" xfId="0" applyFont="1" applyFill="1" applyBorder="1"/>
    <xf numFmtId="0" fontId="29" fillId="6" borderId="8" xfId="0" applyFont="1" applyFill="1" applyBorder="1"/>
    <xf numFmtId="0" fontId="30" fillId="0" borderId="0" xfId="0" applyFont="1" applyFill="1" applyBorder="1"/>
    <xf numFmtId="0" fontId="31" fillId="0" borderId="0" xfId="0" applyFont="1" applyFill="1" applyBorder="1"/>
    <xf numFmtId="0" fontId="30" fillId="7" borderId="25" xfId="0" applyFont="1" applyFill="1" applyBorder="1"/>
    <xf numFmtId="0" fontId="25" fillId="0" borderId="7" xfId="0" applyFont="1" applyFill="1" applyBorder="1" applyAlignment="1">
      <alignment horizontal="left"/>
    </xf>
    <xf numFmtId="0" fontId="30" fillId="0" borderId="1" xfId="0" applyFont="1" applyFill="1" applyBorder="1"/>
    <xf numFmtId="0" fontId="25" fillId="0" borderId="8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0" fontId="30" fillId="0" borderId="18" xfId="0" applyFont="1" applyFill="1" applyBorder="1"/>
    <xf numFmtId="0" fontId="26" fillId="0" borderId="7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left"/>
    </xf>
    <xf numFmtId="2" fontId="30" fillId="2" borderId="1" xfId="0" applyNumberFormat="1" applyFont="1" applyFill="1" applyBorder="1" applyAlignment="1">
      <alignment horizontal="center"/>
    </xf>
    <xf numFmtId="0" fontId="29" fillId="0" borderId="0" xfId="0" applyFont="1" applyFill="1" applyBorder="1"/>
    <xf numFmtId="0" fontId="29" fillId="0" borderId="18" xfId="0" applyFont="1" applyFill="1" applyBorder="1"/>
    <xf numFmtId="0" fontId="30" fillId="2" borderId="7" xfId="0" applyFont="1" applyFill="1" applyBorder="1" applyAlignment="1">
      <alignment horizontal="center"/>
    </xf>
    <xf numFmtId="0" fontId="30" fillId="2" borderId="8" xfId="0" applyFont="1" applyFill="1" applyBorder="1" applyAlignment="1">
      <alignment horizontal="center"/>
    </xf>
    <xf numFmtId="3" fontId="30" fillId="0" borderId="0" xfId="0" applyNumberFormat="1" applyFont="1" applyFill="1" applyBorder="1" applyAlignment="1">
      <alignment horizontal="left"/>
    </xf>
    <xf numFmtId="0" fontId="30" fillId="0" borderId="7" xfId="0" applyFont="1" applyFill="1" applyBorder="1" applyAlignment="1">
      <alignment horizontal="center"/>
    </xf>
    <xf numFmtId="0" fontId="30" fillId="0" borderId="8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32" fillId="0" borderId="7" xfId="0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32" fillId="0" borderId="8" xfId="0" applyFont="1" applyFill="1" applyBorder="1" applyAlignment="1">
      <alignment horizontal="center"/>
    </xf>
    <xf numFmtId="0" fontId="34" fillId="0" borderId="0" xfId="0" applyFont="1" applyFill="1" applyBorder="1"/>
    <xf numFmtId="0" fontId="34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2" fontId="25" fillId="3" borderId="9" xfId="0" applyNumberFormat="1" applyFont="1" applyFill="1" applyBorder="1" applyAlignment="1">
      <alignment horizontal="center"/>
    </xf>
    <xf numFmtId="0" fontId="25" fillId="0" borderId="19" xfId="0" applyFont="1" applyFill="1" applyBorder="1" applyAlignment="1">
      <alignment horizontal="center"/>
    </xf>
    <xf numFmtId="2" fontId="25" fillId="3" borderId="10" xfId="0" applyNumberFormat="1" applyFont="1" applyFill="1" applyBorder="1" applyAlignment="1">
      <alignment horizontal="center"/>
    </xf>
    <xf numFmtId="0" fontId="29" fillId="0" borderId="20" xfId="0" applyFont="1" applyFill="1" applyBorder="1"/>
    <xf numFmtId="2" fontId="32" fillId="0" borderId="7" xfId="0" applyNumberFormat="1" applyFont="1" applyFill="1" applyBorder="1" applyAlignment="1">
      <alignment horizontal="center"/>
    </xf>
    <xf numFmtId="2" fontId="32" fillId="0" borderId="8" xfId="0" applyNumberFormat="1" applyFont="1" applyFill="1" applyBorder="1" applyAlignment="1">
      <alignment horizontal="center"/>
    </xf>
    <xf numFmtId="2" fontId="34" fillId="0" borderId="0" xfId="0" applyNumberFormat="1" applyFont="1" applyFill="1" applyBorder="1" applyAlignment="1">
      <alignment horizontal="center"/>
    </xf>
    <xf numFmtId="2" fontId="30" fillId="0" borderId="0" xfId="0" applyNumberFormat="1" applyFont="1" applyFill="1" applyBorder="1" applyAlignment="1">
      <alignment horizontal="center"/>
    </xf>
    <xf numFmtId="0" fontId="24" fillId="0" borderId="0" xfId="0" applyFont="1"/>
    <xf numFmtId="0" fontId="24" fillId="0" borderId="7" xfId="0" applyFont="1" applyFill="1" applyBorder="1" applyAlignment="1">
      <alignment horizontal="center"/>
    </xf>
    <xf numFmtId="0" fontId="24" fillId="0" borderId="1" xfId="0" applyFont="1" applyBorder="1"/>
    <xf numFmtId="0" fontId="24" fillId="0" borderId="8" xfId="0" applyFont="1" applyFill="1" applyBorder="1" applyAlignment="1">
      <alignment horizontal="center"/>
    </xf>
    <xf numFmtId="0" fontId="24" fillId="0" borderId="0" xfId="0" applyFont="1" applyBorder="1"/>
    <xf numFmtId="2" fontId="23" fillId="0" borderId="0" xfId="0" applyNumberFormat="1" applyFont="1"/>
    <xf numFmtId="0" fontId="23" fillId="0" borderId="0" xfId="1" applyFont="1" applyFill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0" fontId="24" fillId="0" borderId="10" xfId="0" applyFont="1" applyBorder="1"/>
    <xf numFmtId="2" fontId="24" fillId="0" borderId="11" xfId="0" applyNumberFormat="1" applyFont="1" applyFill="1" applyBorder="1" applyAlignment="1">
      <alignment horizontal="center"/>
    </xf>
    <xf numFmtId="164" fontId="24" fillId="0" borderId="0" xfId="0" applyNumberFormat="1" applyFont="1" applyBorder="1"/>
    <xf numFmtId="2" fontId="24" fillId="0" borderId="0" xfId="0" applyNumberFormat="1" applyFont="1" applyBorder="1"/>
    <xf numFmtId="0" fontId="23" fillId="0" borderId="0" xfId="0" applyFont="1" applyFill="1" applyBorder="1"/>
    <xf numFmtId="0" fontId="35" fillId="0" borderId="0" xfId="0" applyFont="1" applyFill="1" applyBorder="1" applyAlignment="1">
      <alignment horizontal="left" vertical="top" wrapText="1" readingOrder="1"/>
    </xf>
    <xf numFmtId="0" fontId="36" fillId="0" borderId="0" xfId="1" applyFont="1" applyFill="1" applyBorder="1" applyAlignment="1">
      <alignment horizontal="center"/>
    </xf>
    <xf numFmtId="2" fontId="24" fillId="0" borderId="0" xfId="0" applyNumberFormat="1" applyFont="1" applyFill="1" applyBorder="1" applyAlignment="1">
      <alignment horizontal="center"/>
    </xf>
    <xf numFmtId="0" fontId="24" fillId="0" borderId="0" xfId="0" applyFont="1" applyFill="1" applyBorder="1"/>
    <xf numFmtId="164" fontId="24" fillId="0" borderId="0" xfId="0" applyNumberFormat="1" applyFont="1" applyFill="1" applyBorder="1"/>
    <xf numFmtId="164" fontId="23" fillId="0" borderId="0" xfId="0" applyNumberFormat="1" applyFont="1" applyFill="1" applyBorder="1"/>
    <xf numFmtId="2" fontId="23" fillId="0" borderId="0" xfId="0" applyNumberFormat="1" applyFont="1" applyFill="1" applyBorder="1"/>
    <xf numFmtId="0" fontId="25" fillId="0" borderId="0" xfId="0" applyFont="1" applyFill="1" applyBorder="1"/>
    <xf numFmtId="0" fontId="26" fillId="0" borderId="1" xfId="0" applyFont="1" applyFill="1" applyBorder="1"/>
    <xf numFmtId="0" fontId="26" fillId="0" borderId="1" xfId="0" applyFont="1" applyFill="1" applyBorder="1" applyAlignment="1">
      <alignment horizontal="center"/>
    </xf>
    <xf numFmtId="0" fontId="38" fillId="0" borderId="0" xfId="0" applyFont="1" applyAlignment="1">
      <alignment vertical="top"/>
    </xf>
    <xf numFmtId="0" fontId="21" fillId="0" borderId="0" xfId="0" applyFont="1" applyFill="1" applyAlignment="1">
      <alignment vertical="center" wrapText="1"/>
    </xf>
    <xf numFmtId="0" fontId="25" fillId="0" borderId="7" xfId="0" applyFont="1" applyFill="1" applyBorder="1" applyAlignment="1">
      <alignment horizontal="center"/>
    </xf>
    <xf numFmtId="0" fontId="30" fillId="0" borderId="1" xfId="0" applyFont="1" applyFill="1" applyBorder="1" applyAlignment="1">
      <alignment horizontal="center"/>
    </xf>
    <xf numFmtId="0" fontId="25" fillId="0" borderId="8" xfId="0" applyFont="1" applyFill="1" applyBorder="1" applyAlignment="1">
      <alignment horizontal="center"/>
    </xf>
    <xf numFmtId="0" fontId="2" fillId="0" borderId="0" xfId="0" applyFont="1"/>
    <xf numFmtId="0" fontId="44" fillId="0" borderId="0" xfId="2" applyFont="1" applyAlignment="1" applyProtection="1"/>
    <xf numFmtId="0" fontId="45" fillId="10" borderId="0" xfId="0" applyFont="1" applyFill="1" applyAlignment="1">
      <alignment horizontal="center"/>
    </xf>
    <xf numFmtId="0" fontId="45" fillId="11" borderId="0" xfId="0" applyFont="1" applyFill="1" applyAlignment="1">
      <alignment horizontal="center"/>
    </xf>
    <xf numFmtId="0" fontId="46" fillId="0" borderId="0" xfId="2" applyFont="1" applyAlignment="1" applyProtection="1"/>
    <xf numFmtId="0" fontId="0" fillId="0" borderId="0" xfId="0" applyFill="1"/>
    <xf numFmtId="0" fontId="47" fillId="0" borderId="0" xfId="0" applyFont="1"/>
    <xf numFmtId="0" fontId="48" fillId="0" borderId="0" xfId="0" applyFont="1" applyAlignment="1">
      <alignment wrapText="1"/>
    </xf>
    <xf numFmtId="0" fontId="43" fillId="0" borderId="0" xfId="2" applyAlignment="1" applyProtection="1"/>
    <xf numFmtId="0" fontId="8" fillId="0" borderId="0" xfId="0" applyFont="1" applyBorder="1"/>
    <xf numFmtId="2" fontId="9" fillId="0" borderId="0" xfId="0" applyNumberFormat="1" applyFont="1" applyBorder="1" applyAlignment="1">
      <alignment horizontal="center"/>
    </xf>
    <xf numFmtId="0" fontId="24" fillId="0" borderId="7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3" fillId="0" borderId="0" xfId="0" applyFont="1" applyAlignment="1">
      <alignment wrapText="1"/>
    </xf>
    <xf numFmtId="0" fontId="49" fillId="4" borderId="19" xfId="0" applyFont="1" applyFill="1" applyBorder="1" applyAlignment="1">
      <alignment horizontal="center"/>
    </xf>
    <xf numFmtId="0" fontId="12" fillId="0" borderId="26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 wrapText="1"/>
    </xf>
    <xf numFmtId="0" fontId="42" fillId="0" borderId="26" xfId="0" applyFont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3" fillId="0" borderId="0" xfId="0" applyFont="1" applyAlignment="1">
      <alignment horizontal="left" wrapText="1"/>
    </xf>
    <xf numFmtId="0" fontId="22" fillId="0" borderId="22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/>
    </xf>
    <xf numFmtId="0" fontId="27" fillId="4" borderId="4" xfId="0" applyFont="1" applyFill="1" applyBorder="1" applyAlignment="1">
      <alignment horizontal="center"/>
    </xf>
    <xf numFmtId="0" fontId="27" fillId="4" borderId="13" xfId="0" applyFont="1" applyFill="1" applyBorder="1" applyAlignment="1">
      <alignment horizontal="center"/>
    </xf>
    <xf numFmtId="0" fontId="27" fillId="8" borderId="7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/>
    </xf>
    <xf numFmtId="0" fontId="27" fillId="8" borderId="8" xfId="0" applyFont="1" applyFill="1" applyBorder="1" applyAlignment="1">
      <alignment horizontal="center"/>
    </xf>
    <xf numFmtId="0" fontId="39" fillId="0" borderId="0" xfId="0" applyFont="1" applyAlignment="1">
      <alignment horizontal="left" vertical="top" wrapText="1"/>
    </xf>
    <xf numFmtId="0" fontId="26" fillId="7" borderId="14" xfId="0" applyFont="1" applyFill="1" applyBorder="1" applyAlignment="1">
      <alignment horizontal="center" vertical="center" wrapText="1"/>
    </xf>
    <xf numFmtId="0" fontId="26" fillId="7" borderId="15" xfId="0" applyFont="1" applyFill="1" applyBorder="1" applyAlignment="1">
      <alignment horizontal="center" vertical="center" wrapText="1"/>
    </xf>
    <xf numFmtId="0" fontId="26" fillId="7" borderId="16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/>
    </xf>
    <xf numFmtId="0" fontId="28" fillId="6" borderId="4" xfId="0" applyFont="1" applyFill="1" applyBorder="1" applyAlignment="1">
      <alignment horizontal="center"/>
    </xf>
    <xf numFmtId="0" fontId="28" fillId="6" borderId="13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0" borderId="0" xfId="0" applyFont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3">
    <cellStyle name="Hyperlink" xfId="2" builtinId="8"/>
    <cellStyle name="Normal" xfId="0" builtinId="0"/>
    <cellStyle name="Normal_Plan1" xfId="1" xr:uid="{00000000-0005-0000-0000-000002000000}"/>
  </cellStyles>
  <dxfs count="0"/>
  <tableStyles count="0" defaultTableStyle="TableStyleMedium9" defaultPivotStyle="PivotStyleLight16"/>
  <colors>
    <mruColors>
      <color rgb="FF0000FF"/>
      <color rgb="FFD5F4FF"/>
      <color rgb="FFBD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28576</xdr:rowOff>
    </xdr:from>
    <xdr:to>
      <xdr:col>3</xdr:col>
      <xdr:colOff>716850</xdr:colOff>
      <xdr:row>0</xdr:row>
      <xdr:rowOff>460780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28576"/>
          <a:ext cx="4533900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16677</xdr:colOff>
      <xdr:row>4</xdr:row>
      <xdr:rowOff>73152</xdr:rowOff>
    </xdr:from>
    <xdr:to>
      <xdr:col>8</xdr:col>
      <xdr:colOff>204826</xdr:colOff>
      <xdr:row>14</xdr:row>
      <xdr:rowOff>124359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D630A5-85C8-45D2-9582-6C45BFDE3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6808" y="1177747"/>
          <a:ext cx="4599215" cy="1982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4</xdr:col>
      <xdr:colOff>200025</xdr:colOff>
      <xdr:row>0</xdr:row>
      <xdr:rowOff>470304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10000"/>
        </a:blip>
        <a:srcRect/>
        <a:stretch>
          <a:fillRect/>
        </a:stretch>
      </xdr:blipFill>
      <xdr:spPr bwMode="auto">
        <a:xfrm>
          <a:off x="9525" y="38100"/>
          <a:ext cx="4533900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4</xdr:col>
      <xdr:colOff>533400</xdr:colOff>
      <xdr:row>0</xdr:row>
      <xdr:rowOff>460779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10000"/>
        </a:blip>
        <a:srcRect/>
        <a:stretch>
          <a:fillRect/>
        </a:stretch>
      </xdr:blipFill>
      <xdr:spPr bwMode="auto">
        <a:xfrm>
          <a:off x="19050" y="28575"/>
          <a:ext cx="4533900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4</xdr:col>
      <xdr:colOff>200025</xdr:colOff>
      <xdr:row>0</xdr:row>
      <xdr:rowOff>470304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A1605-77BB-40A9-82A9-00FE33FF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10000"/>
        </a:blip>
        <a:srcRect/>
        <a:stretch>
          <a:fillRect/>
        </a:stretch>
      </xdr:blipFill>
      <xdr:spPr bwMode="auto">
        <a:xfrm>
          <a:off x="9525" y="38100"/>
          <a:ext cx="4952695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104775</xdr:colOff>
      <xdr:row>1</xdr:row>
      <xdr:rowOff>297997</xdr:rowOff>
    </xdr:from>
    <xdr:to>
      <xdr:col>15</xdr:col>
      <xdr:colOff>57150</xdr:colOff>
      <xdr:row>1</xdr:row>
      <xdr:rowOff>1019002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86700" y="297997"/>
          <a:ext cx="5219700" cy="721005"/>
        </a:xfrm>
        <a:prstGeom prst="rect">
          <a:avLst/>
        </a:prstGeom>
        <a:ln w="12700" cap="sq">
          <a:solidFill>
            <a:srgbClr val="002060"/>
          </a:solidFill>
          <a:prstDash val="solid"/>
          <a:miter lim="800000"/>
        </a:ln>
        <a:effectLst/>
      </xdr:spPr>
    </xdr:pic>
    <xdr:clientData/>
  </xdr:twoCellAnchor>
  <xdr:twoCellAnchor editAs="oneCell">
    <xdr:from>
      <xdr:col>0</xdr:col>
      <xdr:colOff>19050</xdr:colOff>
      <xdr:row>0</xdr:row>
      <xdr:rowOff>28575</xdr:rowOff>
    </xdr:from>
    <xdr:to>
      <xdr:col>5</xdr:col>
      <xdr:colOff>657225</xdr:colOff>
      <xdr:row>0</xdr:row>
      <xdr:rowOff>460779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contrast="10000"/>
        </a:blip>
        <a:srcRect/>
        <a:stretch>
          <a:fillRect/>
        </a:stretch>
      </xdr:blipFill>
      <xdr:spPr bwMode="auto">
        <a:xfrm>
          <a:off x="19050" y="28575"/>
          <a:ext cx="4533900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4</xdr:col>
      <xdr:colOff>95250</xdr:colOff>
      <xdr:row>0</xdr:row>
      <xdr:rowOff>470304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10000"/>
        </a:blip>
        <a:srcRect/>
        <a:stretch>
          <a:fillRect/>
        </a:stretch>
      </xdr:blipFill>
      <xdr:spPr bwMode="auto">
        <a:xfrm>
          <a:off x="0" y="38100"/>
          <a:ext cx="4533900" cy="4322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atozmath.com/CONM/Ch2_CombinedSD.aspx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talkstats.com/threads/an-average-of-standard-deviations.14523/" TargetMode="External"/><Relationship Id="rId1" Type="http://schemas.openxmlformats.org/officeDocument/2006/relationships/hyperlink" Target="https://home.ubalt.edu/ntsbarsh/business-stat/otherapplets/Pooled.ht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handbook-5-1.cochrane.org/chapter_7/table_7_7_a_formulae_for_combining_groups.htm" TargetMode="External"/><Relationship Id="rId4" Type="http://schemas.openxmlformats.org/officeDocument/2006/relationships/hyperlink" Target="https://handbook-5-1.cochrane.org/chapter_7/7_7_3_8_combining_groups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handbook-5-1.cochrane.org/chapter_7/7_7_3_5_mediansand_interquartile_ranges.htm" TargetMode="External"/><Relationship Id="rId1" Type="http://schemas.openxmlformats.org/officeDocument/2006/relationships/hyperlink" Target="https://stats.stackexchange.com/questions/256456/how-to-calculate-mean-and-sd-from-quartiles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>
      <selection activeCell="A2" sqref="A2"/>
    </sheetView>
  </sheetViews>
  <sheetFormatPr defaultRowHeight="14.4" x14ac:dyDescent="0.3"/>
  <sheetData>
    <row r="1" spans="1:1" ht="30" x14ac:dyDescent="0.5">
      <c r="A1" s="117" t="s">
        <v>86</v>
      </c>
    </row>
    <row r="3" spans="1:1" ht="15.6" x14ac:dyDescent="0.3">
      <c r="A3" s="115" t="s">
        <v>56</v>
      </c>
    </row>
    <row r="5" spans="1:1" ht="15.6" x14ac:dyDescent="0.3">
      <c r="A5" s="115" t="s">
        <v>85</v>
      </c>
    </row>
    <row r="7" spans="1:1" ht="15.6" x14ac:dyDescent="0.3">
      <c r="A7" s="115" t="s">
        <v>84</v>
      </c>
    </row>
    <row r="8" spans="1:1" ht="15.6" x14ac:dyDescent="0.3">
      <c r="A8" s="115"/>
    </row>
    <row r="9" spans="1:1" ht="15.6" x14ac:dyDescent="0.3">
      <c r="A9" s="115" t="s">
        <v>83</v>
      </c>
    </row>
    <row r="10" spans="1:1" x14ac:dyDescent="0.3">
      <c r="A10" s="112"/>
    </row>
    <row r="11" spans="1:1" ht="15.6" x14ac:dyDescent="0.3">
      <c r="A11" s="115" t="s">
        <v>62</v>
      </c>
    </row>
    <row r="13" spans="1:1" ht="15.6" x14ac:dyDescent="0.3">
      <c r="A13" s="115" t="s">
        <v>57</v>
      </c>
    </row>
    <row r="15" spans="1:1" ht="15.6" x14ac:dyDescent="0.3">
      <c r="A15" s="115" t="s">
        <v>63</v>
      </c>
    </row>
  </sheetData>
  <hyperlinks>
    <hyperlink ref="A3" location="'Ponderação de valores'!A1" display="Desejo fazer médias de grupos" xr:uid="{00000000-0004-0000-0000-000000000000}"/>
    <hyperlink ref="A5" location="'IC 95 para SD'!A1" display="Transformar o intervalo de confiança" xr:uid="{00000000-0004-0000-0000-000001000000}"/>
    <hyperlink ref="A7" location="'SE para SD'!A1" display="Desejo trna" xr:uid="{00000000-0004-0000-0000-000002000000}"/>
    <hyperlink ref="A13" location="'Distribuição de comparador'!A1" display="Dividir o grupo de comparação" xr:uid="{00000000-0004-0000-0000-000003000000}"/>
    <hyperlink ref="A15" location="Análise!A1" display="Registrar os dados para análise" xr:uid="{00000000-0004-0000-0000-000004000000}"/>
    <hyperlink ref="A11" location="'Imputaçao SD Delta'!A1" display="Imputar um desvio padrão de delta" xr:uid="{00000000-0004-0000-0000-000005000000}"/>
    <hyperlink ref="A9" location="'IQR para SD'!A1" display="Transformar o intervalo interquartil (IQR) para desvio padrão" xr:uid="{00000000-0004-0000-0000-000006000000}"/>
  </hyperlink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showGridLines="0" zoomScale="110" zoomScaleNormal="110" workbookViewId="0">
      <selection activeCell="D17" sqref="D17"/>
    </sheetView>
  </sheetViews>
  <sheetFormatPr defaultColWidth="9.109375" defaultRowHeight="13.8" x14ac:dyDescent="0.25"/>
  <cols>
    <col min="1" max="1" width="24.6640625" style="6" customWidth="1"/>
    <col min="2" max="2" width="24.33203125" style="6" customWidth="1"/>
    <col min="3" max="3" width="9.109375" style="6" customWidth="1"/>
    <col min="4" max="4" width="22.88671875" style="6" customWidth="1"/>
    <col min="5" max="5" width="9.5546875" style="6" customWidth="1"/>
    <col min="6" max="6" width="14.88671875" style="6" customWidth="1"/>
    <col min="7" max="7" width="3.88671875" style="6" customWidth="1"/>
    <col min="8" max="16384" width="9.109375" style="6"/>
  </cols>
  <sheetData>
    <row r="1" spans="1:8" ht="39.75" customHeight="1" thickBot="1" x14ac:dyDescent="0.3">
      <c r="A1" s="31"/>
      <c r="B1" s="8"/>
      <c r="C1" s="134"/>
      <c r="D1" s="134"/>
      <c r="E1" s="134"/>
    </row>
    <row r="2" spans="1:8" ht="18.75" customHeight="1" thickBot="1" x14ac:dyDescent="0.35">
      <c r="A2" s="135" t="s">
        <v>98</v>
      </c>
      <c r="B2" s="136"/>
      <c r="C2" s="8"/>
      <c r="D2" s="6" t="s">
        <v>123</v>
      </c>
    </row>
    <row r="3" spans="1:8" ht="14.4" x14ac:dyDescent="0.3">
      <c r="A3" s="132" t="s">
        <v>24</v>
      </c>
      <c r="B3" s="133"/>
      <c r="C3" s="118"/>
      <c r="D3" s="119" t="s">
        <v>90</v>
      </c>
    </row>
    <row r="4" spans="1:8" ht="14.4" x14ac:dyDescent="0.3">
      <c r="A4" s="84" t="s">
        <v>67</v>
      </c>
      <c r="B4" s="84" t="s">
        <v>68</v>
      </c>
      <c r="C4" s="118"/>
      <c r="D4" s="119" t="s">
        <v>109</v>
      </c>
    </row>
    <row r="5" spans="1:8" s="8" customFormat="1" ht="14.4" x14ac:dyDescent="0.3">
      <c r="A5" s="12">
        <v>10</v>
      </c>
      <c r="B5" s="7">
        <v>40</v>
      </c>
      <c r="C5" s="118"/>
      <c r="D5" s="6"/>
      <c r="E5" s="6"/>
      <c r="F5" s="6"/>
    </row>
    <row r="6" spans="1:8" s="8" customFormat="1" ht="14.4" x14ac:dyDescent="0.3">
      <c r="A6" s="84" t="s">
        <v>71</v>
      </c>
      <c r="B6" s="84" t="s">
        <v>72</v>
      </c>
      <c r="C6" s="118"/>
      <c r="D6" s="6"/>
      <c r="E6" s="6"/>
      <c r="F6" s="6"/>
    </row>
    <row r="7" spans="1:8" s="8" customFormat="1" ht="14.4" x14ac:dyDescent="0.3">
      <c r="A7" s="12">
        <v>2</v>
      </c>
      <c r="B7" s="7">
        <v>4</v>
      </c>
      <c r="C7" s="118"/>
      <c r="D7" s="6"/>
      <c r="E7" s="6"/>
      <c r="F7" s="6"/>
    </row>
    <row r="8" spans="1:8" s="8" customFormat="1" ht="14.4" x14ac:dyDescent="0.3">
      <c r="A8" s="84" t="s">
        <v>75</v>
      </c>
      <c r="B8" s="84" t="s">
        <v>75</v>
      </c>
      <c r="C8" s="118"/>
      <c r="D8" s="6"/>
      <c r="E8" s="6"/>
      <c r="F8" s="6"/>
    </row>
    <row r="9" spans="1:8" s="8" customFormat="1" ht="15" thickBot="1" x14ac:dyDescent="0.35">
      <c r="A9" s="13">
        <v>1</v>
      </c>
      <c r="B9" s="14">
        <v>1.5</v>
      </c>
      <c r="C9" s="118"/>
    </row>
    <row r="10" spans="1:8" ht="14.4" thickBot="1" x14ac:dyDescent="0.3"/>
    <row r="11" spans="1:8" ht="16.8" x14ac:dyDescent="0.3">
      <c r="A11" s="15" t="s">
        <v>13</v>
      </c>
      <c r="B11" s="17">
        <f>((A5*A7)+(B5*B7))/(A5+B5)</f>
        <v>3.6</v>
      </c>
    </row>
    <row r="12" spans="1:8" ht="17.399999999999999" thickBot="1" x14ac:dyDescent="0.35">
      <c r="A12" s="16" t="s">
        <v>28</v>
      </c>
      <c r="B12" s="18">
        <f>SQRT((((((A5-1)*A9^2)+(B5-1)*B9^2+((A5*B5)/(A5+B5))*(A7^2+B7^2-2*A7*B7)))/((A5+B5-1))))</f>
        <v>1.6209722454157454</v>
      </c>
      <c r="C12" s="19" t="s">
        <v>36</v>
      </c>
    </row>
    <row r="13" spans="1:8" ht="16.8" x14ac:dyDescent="0.3">
      <c r="A13" s="120"/>
      <c r="B13" s="121"/>
      <c r="C13" s="19"/>
    </row>
    <row r="14" spans="1:8" ht="14.4" thickBot="1" x14ac:dyDescent="0.3">
      <c r="A14" s="129" t="s">
        <v>92</v>
      </c>
      <c r="B14" s="129"/>
    </row>
    <row r="15" spans="1:8" ht="35.1" customHeight="1" thickBot="1" x14ac:dyDescent="0.35">
      <c r="A15" s="130" t="s">
        <v>94</v>
      </c>
      <c r="B15" s="131"/>
    </row>
    <row r="16" spans="1:8" x14ac:dyDescent="0.25">
      <c r="A16" s="132" t="s">
        <v>24</v>
      </c>
      <c r="B16" s="133"/>
      <c r="D16" s="6" t="s">
        <v>124</v>
      </c>
      <c r="G16" s="8"/>
      <c r="H16" s="8"/>
    </row>
    <row r="17" spans="1:4" ht="26.4" x14ac:dyDescent="0.3">
      <c r="A17" s="122" t="s">
        <v>91</v>
      </c>
      <c r="B17" s="123" t="s">
        <v>69</v>
      </c>
      <c r="D17" s="119" t="s">
        <v>87</v>
      </c>
    </row>
    <row r="18" spans="1:4" ht="14.4" x14ac:dyDescent="0.3">
      <c r="A18" s="124"/>
      <c r="B18" s="125"/>
      <c r="D18" s="119" t="s">
        <v>88</v>
      </c>
    </row>
    <row r="19" spans="1:4" ht="14.4" x14ac:dyDescent="0.3">
      <c r="A19" s="123" t="s">
        <v>100</v>
      </c>
      <c r="B19" s="123" t="s">
        <v>73</v>
      </c>
      <c r="D19" s="119" t="s">
        <v>89</v>
      </c>
    </row>
    <row r="20" spans="1:4" x14ac:dyDescent="0.25">
      <c r="A20" s="124"/>
      <c r="B20" s="125"/>
    </row>
    <row r="21" spans="1:4" x14ac:dyDescent="0.25">
      <c r="A21" s="123" t="s">
        <v>75</v>
      </c>
      <c r="B21" s="123" t="s">
        <v>75</v>
      </c>
    </row>
    <row r="22" spans="1:4" ht="14.4" thickBot="1" x14ac:dyDescent="0.3">
      <c r="A22" s="126"/>
      <c r="B22" s="127"/>
    </row>
    <row r="23" spans="1:4" ht="14.4" thickBot="1" x14ac:dyDescent="0.3"/>
    <row r="24" spans="1:4" ht="16.8" x14ac:dyDescent="0.3">
      <c r="A24" s="15" t="s">
        <v>13</v>
      </c>
      <c r="B24" s="17" t="e">
        <f>((A18*A20)+(B18*B20))/(A18+B18)</f>
        <v>#DIV/0!</v>
      </c>
    </row>
    <row r="25" spans="1:4" ht="17.399999999999999" thickBot="1" x14ac:dyDescent="0.35">
      <c r="A25" s="16" t="s">
        <v>28</v>
      </c>
      <c r="B25" s="18" t="e">
        <f>SQRT((((((A18-1)*A22^2)+(B18-1)*B22^2+((A18*B18)/(A18+B18))*(A20^2+B20^2-2*A20*B20)))/((A18+B18-1))))</f>
        <v>#DIV/0!</v>
      </c>
    </row>
    <row r="26" spans="1:4" ht="16.8" x14ac:dyDescent="0.3">
      <c r="A26" s="120"/>
      <c r="B26" s="121"/>
    </row>
    <row r="27" spans="1:4" ht="14.4" thickBot="1" x14ac:dyDescent="0.3">
      <c r="A27" s="129" t="s">
        <v>93</v>
      </c>
      <c r="B27" s="129"/>
    </row>
    <row r="28" spans="1:4" ht="34.65" customHeight="1" thickBot="1" x14ac:dyDescent="0.35">
      <c r="A28" s="130" t="s">
        <v>95</v>
      </c>
      <c r="B28" s="131"/>
    </row>
    <row r="29" spans="1:4" x14ac:dyDescent="0.25">
      <c r="A29" s="132" t="s">
        <v>24</v>
      </c>
      <c r="B29" s="133"/>
    </row>
    <row r="30" spans="1:4" ht="26.4" x14ac:dyDescent="0.25">
      <c r="A30" s="122" t="s">
        <v>96</v>
      </c>
      <c r="B30" s="123" t="s">
        <v>70</v>
      </c>
    </row>
    <row r="31" spans="1:4" x14ac:dyDescent="0.25">
      <c r="A31" s="12"/>
      <c r="B31" s="7"/>
    </row>
    <row r="32" spans="1:4" x14ac:dyDescent="0.25">
      <c r="A32" s="84" t="s">
        <v>100</v>
      </c>
      <c r="B32" s="84" t="s">
        <v>74</v>
      </c>
    </row>
    <row r="33" spans="1:2" x14ac:dyDescent="0.25">
      <c r="A33" s="12"/>
      <c r="B33" s="7"/>
    </row>
    <row r="34" spans="1:2" x14ac:dyDescent="0.25">
      <c r="A34" s="84" t="s">
        <v>75</v>
      </c>
      <c r="B34" s="84" t="s">
        <v>75</v>
      </c>
    </row>
    <row r="35" spans="1:2" ht="14.4" thickBot="1" x14ac:dyDescent="0.3">
      <c r="A35" s="13"/>
      <c r="B35" s="14"/>
    </row>
    <row r="36" spans="1:2" ht="14.4" thickBot="1" x14ac:dyDescent="0.3"/>
    <row r="37" spans="1:2" ht="16.8" x14ac:dyDescent="0.3">
      <c r="A37" s="15" t="s">
        <v>13</v>
      </c>
      <c r="B37" s="17" t="e">
        <f>((A31*A33)+(B31*B33))/(A31+B31)</f>
        <v>#DIV/0!</v>
      </c>
    </row>
    <row r="38" spans="1:2" ht="17.399999999999999" thickBot="1" x14ac:dyDescent="0.35">
      <c r="A38" s="16" t="s">
        <v>28</v>
      </c>
      <c r="B38" s="18" t="e">
        <f>SQRT((((((A31-1)*A35^2)+(B31-1)*B35^2+((A31*B31)/(A31+B31))*(A33^2+B33^2-2*A33*B33)))/((A31+B31-1))))</f>
        <v>#DIV/0!</v>
      </c>
    </row>
    <row r="39" spans="1:2" ht="16.8" x14ac:dyDescent="0.3">
      <c r="A39" s="120"/>
      <c r="B39" s="121"/>
    </row>
    <row r="40" spans="1:2" ht="14.4" thickBot="1" x14ac:dyDescent="0.3">
      <c r="A40" s="129" t="s">
        <v>102</v>
      </c>
      <c r="B40" s="129"/>
    </row>
    <row r="41" spans="1:2" ht="37.5" customHeight="1" thickBot="1" x14ac:dyDescent="0.35">
      <c r="A41" s="130" t="s">
        <v>104</v>
      </c>
      <c r="B41" s="131"/>
    </row>
    <row r="42" spans="1:2" x14ac:dyDescent="0.25">
      <c r="A42" s="132" t="s">
        <v>24</v>
      </c>
      <c r="B42" s="133"/>
    </row>
    <row r="43" spans="1:2" ht="26.4" x14ac:dyDescent="0.25">
      <c r="A43" s="122" t="s">
        <v>99</v>
      </c>
      <c r="B43" s="123" t="s">
        <v>97</v>
      </c>
    </row>
    <row r="44" spans="1:2" x14ac:dyDescent="0.25">
      <c r="A44" s="12"/>
      <c r="B44" s="7"/>
    </row>
    <row r="45" spans="1:2" ht="16.649999999999999" customHeight="1" x14ac:dyDescent="0.25">
      <c r="A45" s="84" t="s">
        <v>100</v>
      </c>
      <c r="B45" s="84" t="s">
        <v>101</v>
      </c>
    </row>
    <row r="46" spans="1:2" x14ac:dyDescent="0.25">
      <c r="A46" s="12"/>
      <c r="B46" s="7"/>
    </row>
    <row r="47" spans="1:2" x14ac:dyDescent="0.25">
      <c r="A47" s="84" t="s">
        <v>75</v>
      </c>
      <c r="B47" s="84" t="s">
        <v>75</v>
      </c>
    </row>
    <row r="48" spans="1:2" ht="14.4" thickBot="1" x14ac:dyDescent="0.3">
      <c r="A48" s="13"/>
      <c r="B48" s="14"/>
    </row>
    <row r="49" spans="1:2" ht="14.4" thickBot="1" x14ac:dyDescent="0.3"/>
    <row r="50" spans="1:2" ht="16.8" x14ac:dyDescent="0.3">
      <c r="A50" s="15" t="s">
        <v>13</v>
      </c>
      <c r="B50" s="17" t="e">
        <f>((A44*A46)+(B44*B46))/(A44+B44)</f>
        <v>#DIV/0!</v>
      </c>
    </row>
    <row r="51" spans="1:2" ht="17.399999999999999" thickBot="1" x14ac:dyDescent="0.35">
      <c r="A51" s="16" t="s">
        <v>28</v>
      </c>
      <c r="B51" s="18" t="e">
        <f>SQRT((((((A44-1)*A48^2)+(B44-1)*B48^2+((A44*B44)/(A44+B44))*(A46^2+B46^2-2*A46*B46)))/((A44+B44-1))))</f>
        <v>#DIV/0!</v>
      </c>
    </row>
    <row r="52" spans="1:2" ht="16.8" x14ac:dyDescent="0.3">
      <c r="A52" s="120"/>
      <c r="B52" s="121"/>
    </row>
    <row r="53" spans="1:2" ht="14.4" thickBot="1" x14ac:dyDescent="0.3">
      <c r="A53" s="129" t="s">
        <v>103</v>
      </c>
      <c r="B53" s="129"/>
    </row>
    <row r="54" spans="1:2" ht="48.9" customHeight="1" thickBot="1" x14ac:dyDescent="0.35">
      <c r="A54" s="130" t="s">
        <v>105</v>
      </c>
      <c r="B54" s="131"/>
    </row>
    <row r="55" spans="1:2" x14ac:dyDescent="0.25">
      <c r="A55" s="132" t="s">
        <v>24</v>
      </c>
      <c r="B55" s="133"/>
    </row>
    <row r="56" spans="1:2" ht="25.35" customHeight="1" x14ac:dyDescent="0.25">
      <c r="A56" s="122" t="s">
        <v>108</v>
      </c>
      <c r="B56" s="123" t="s">
        <v>107</v>
      </c>
    </row>
    <row r="57" spans="1:2" x14ac:dyDescent="0.25">
      <c r="A57" s="12"/>
      <c r="B57" s="7"/>
    </row>
    <row r="58" spans="1:2" x14ac:dyDescent="0.25">
      <c r="A58" s="84" t="s">
        <v>100</v>
      </c>
      <c r="B58" s="84" t="s">
        <v>106</v>
      </c>
    </row>
    <row r="59" spans="1:2" x14ac:dyDescent="0.25">
      <c r="A59" s="12"/>
      <c r="B59" s="7"/>
    </row>
    <row r="60" spans="1:2" x14ac:dyDescent="0.25">
      <c r="A60" s="84" t="s">
        <v>75</v>
      </c>
      <c r="B60" s="84" t="s">
        <v>75</v>
      </c>
    </row>
    <row r="61" spans="1:2" ht="14.4" thickBot="1" x14ac:dyDescent="0.3">
      <c r="A61" s="13"/>
      <c r="B61" s="14"/>
    </row>
    <row r="62" spans="1:2" ht="14.4" thickBot="1" x14ac:dyDescent="0.3"/>
    <row r="63" spans="1:2" ht="16.8" x14ac:dyDescent="0.3">
      <c r="A63" s="15" t="s">
        <v>13</v>
      </c>
      <c r="B63" s="17" t="e">
        <f>((A57*A59)+(B57*B59))/(A57+B57)</f>
        <v>#DIV/0!</v>
      </c>
    </row>
    <row r="64" spans="1:2" ht="17.399999999999999" thickBot="1" x14ac:dyDescent="0.35">
      <c r="A64" s="16" t="s">
        <v>28</v>
      </c>
      <c r="B64" s="18" t="e">
        <f>SQRT((((((A57-1)*A61^2)+(B57-1)*B61^2+((A57*B57)/(A57+B57))*(A59^2+B59^2-2*A59*B59)))/((A57+B57-1))))</f>
        <v>#DIV/0!</v>
      </c>
    </row>
  </sheetData>
  <mergeCells count="15">
    <mergeCell ref="C1:E1"/>
    <mergeCell ref="A2:B2"/>
    <mergeCell ref="A3:B3"/>
    <mergeCell ref="A15:B15"/>
    <mergeCell ref="A16:B16"/>
    <mergeCell ref="A14:B14"/>
    <mergeCell ref="A27:B27"/>
    <mergeCell ref="A28:B28"/>
    <mergeCell ref="A54:B54"/>
    <mergeCell ref="A55:B55"/>
    <mergeCell ref="A53:B53"/>
    <mergeCell ref="A29:B29"/>
    <mergeCell ref="A40:B40"/>
    <mergeCell ref="A41:B41"/>
    <mergeCell ref="A42:B42"/>
  </mergeCells>
  <hyperlinks>
    <hyperlink ref="D17" r:id="rId1" xr:uid="{00000000-0004-0000-0100-000000000000}"/>
    <hyperlink ref="D18" r:id="rId2" xr:uid="{00000000-0004-0000-0100-000001000000}"/>
    <hyperlink ref="D19" r:id="rId3" location="tblSolution " xr:uid="{00000000-0004-0000-0100-000002000000}"/>
    <hyperlink ref="D3" r:id="rId4" xr:uid="{00000000-0004-0000-0100-000003000000}"/>
    <hyperlink ref="D4" r:id="rId5" xr:uid="{00000000-0004-0000-0100-000004000000}"/>
  </hyperlinks>
  <pageMargins left="0.511811024" right="0.511811024" top="0.78740157499999996" bottom="0.78740157499999996" header="0.31496062000000002" footer="0.31496062000000002"/>
  <pageSetup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showGridLines="0" tabSelected="1" topLeftCell="E2" zoomScaleNormal="100" workbookViewId="0">
      <selection activeCell="K20" sqref="K20"/>
    </sheetView>
  </sheetViews>
  <sheetFormatPr defaultRowHeight="14.4" x14ac:dyDescent="0.3"/>
  <cols>
    <col min="1" max="1" width="20.6640625" customWidth="1"/>
    <col min="2" max="2" width="18" customWidth="1"/>
    <col min="3" max="3" width="5.6640625" customWidth="1"/>
    <col min="4" max="4" width="20.6640625" customWidth="1"/>
    <col min="5" max="5" width="16.88671875" customWidth="1"/>
    <col min="6" max="6" width="5.6640625" customWidth="1"/>
    <col min="7" max="7" width="20.6640625" customWidth="1"/>
    <col min="8" max="8" width="15.6640625" customWidth="1"/>
    <col min="9" max="9" width="5.6640625" customWidth="1"/>
    <col min="10" max="10" width="20.6640625" customWidth="1"/>
    <col min="11" max="11" width="16" customWidth="1"/>
    <col min="12" max="12" width="5.6640625" customWidth="1"/>
  </cols>
  <sheetData>
    <row r="1" spans="1:11" s="6" customFormat="1" ht="39.75" customHeight="1" x14ac:dyDescent="0.25">
      <c r="A1" s="8"/>
      <c r="B1" s="8"/>
      <c r="C1" s="134"/>
      <c r="D1" s="134"/>
      <c r="E1" s="134"/>
      <c r="F1" s="32"/>
    </row>
    <row r="2" spans="1:11" ht="21" customHeight="1" x14ac:dyDescent="0.3">
      <c r="A2" s="137" t="s">
        <v>43</v>
      </c>
      <c r="B2" s="138"/>
      <c r="C2" s="138"/>
      <c r="D2" s="138"/>
    </row>
    <row r="3" spans="1:11" ht="15" thickBot="1" x14ac:dyDescent="0.35"/>
    <row r="4" spans="1:11" ht="15.6" x14ac:dyDescent="0.3">
      <c r="A4" s="143" t="s">
        <v>76</v>
      </c>
      <c r="B4" s="144"/>
      <c r="D4" s="143" t="s">
        <v>77</v>
      </c>
      <c r="E4" s="144"/>
      <c r="G4" s="143" t="s">
        <v>78</v>
      </c>
      <c r="H4" s="144"/>
      <c r="J4" s="143" t="s">
        <v>79</v>
      </c>
      <c r="K4" s="144"/>
    </row>
    <row r="5" spans="1:11" x14ac:dyDescent="0.3">
      <c r="A5" s="139" t="s">
        <v>29</v>
      </c>
      <c r="B5" s="140"/>
      <c r="D5" s="139" t="s">
        <v>29</v>
      </c>
      <c r="E5" s="140"/>
      <c r="G5" s="145" t="s">
        <v>29</v>
      </c>
      <c r="H5" s="146"/>
      <c r="J5" s="145" t="s">
        <v>29</v>
      </c>
      <c r="K5" s="146"/>
    </row>
    <row r="6" spans="1:11" x14ac:dyDescent="0.3">
      <c r="A6" s="9" t="s">
        <v>8</v>
      </c>
      <c r="B6" s="20">
        <v>-0.13</v>
      </c>
      <c r="D6" s="9" t="s">
        <v>8</v>
      </c>
      <c r="E6" s="20">
        <v>-0.23</v>
      </c>
      <c r="G6" s="9" t="s">
        <v>8</v>
      </c>
      <c r="H6" s="20">
        <v>-65</v>
      </c>
      <c r="J6" s="9" t="s">
        <v>8</v>
      </c>
      <c r="K6" s="20">
        <v>-87</v>
      </c>
    </row>
    <row r="7" spans="1:11" x14ac:dyDescent="0.3">
      <c r="A7" s="9" t="s">
        <v>7</v>
      </c>
      <c r="B7" s="20">
        <v>0.36</v>
      </c>
      <c r="D7" s="9" t="s">
        <v>7</v>
      </c>
      <c r="E7" s="20">
        <v>0.14000000000000001</v>
      </c>
      <c r="G7" s="9" t="s">
        <v>7</v>
      </c>
      <c r="H7" s="20">
        <v>42</v>
      </c>
      <c r="J7" s="9" t="s">
        <v>7</v>
      </c>
      <c r="K7" s="20">
        <v>19</v>
      </c>
    </row>
    <row r="8" spans="1:11" x14ac:dyDescent="0.3">
      <c r="A8" s="10" t="s">
        <v>9</v>
      </c>
      <c r="B8" s="11">
        <f>B7-B6</f>
        <v>0.49</v>
      </c>
      <c r="D8" s="10" t="s">
        <v>9</v>
      </c>
      <c r="E8" s="11">
        <f>E7-E6</f>
        <v>0.37</v>
      </c>
      <c r="G8" s="10" t="s">
        <v>9</v>
      </c>
      <c r="H8" s="11">
        <f>H7-H6</f>
        <v>107</v>
      </c>
      <c r="J8" s="10" t="s">
        <v>9</v>
      </c>
      <c r="K8" s="11">
        <f>K7-K6</f>
        <v>106</v>
      </c>
    </row>
    <row r="9" spans="1:11" x14ac:dyDescent="0.3">
      <c r="A9" s="21"/>
      <c r="B9" s="22"/>
      <c r="D9" s="21"/>
      <c r="E9" s="22"/>
      <c r="G9" s="21"/>
      <c r="H9" s="22"/>
      <c r="J9" s="21"/>
      <c r="K9" s="22"/>
    </row>
    <row r="10" spans="1:11" ht="15.6" x14ac:dyDescent="0.3">
      <c r="A10" s="141" t="s">
        <v>10</v>
      </c>
      <c r="B10" s="142"/>
      <c r="D10" s="141" t="s">
        <v>10</v>
      </c>
      <c r="E10" s="142"/>
      <c r="G10" s="147" t="s">
        <v>10</v>
      </c>
      <c r="H10" s="148"/>
      <c r="J10" s="147" t="s">
        <v>10</v>
      </c>
      <c r="K10" s="148"/>
    </row>
    <row r="11" spans="1:11" x14ac:dyDescent="0.3">
      <c r="A11" s="9" t="s">
        <v>11</v>
      </c>
      <c r="B11" s="20">
        <v>41</v>
      </c>
      <c r="D11" s="9" t="s">
        <v>11</v>
      </c>
      <c r="E11" s="20">
        <v>73</v>
      </c>
      <c r="G11" s="9" t="s">
        <v>11</v>
      </c>
      <c r="H11" s="20">
        <v>438</v>
      </c>
      <c r="J11" s="9" t="s">
        <v>11</v>
      </c>
      <c r="K11" s="20">
        <v>448</v>
      </c>
    </row>
    <row r="12" spans="1:11" x14ac:dyDescent="0.3">
      <c r="A12" s="10" t="s">
        <v>32</v>
      </c>
      <c r="B12" s="25">
        <f>SQRT(B11)</f>
        <v>6.4031242374328485</v>
      </c>
      <c r="D12" s="10" t="s">
        <v>32</v>
      </c>
      <c r="E12" s="25">
        <f>SQRT(E11)</f>
        <v>8.5440037453175304</v>
      </c>
      <c r="G12" s="10" t="s">
        <v>32</v>
      </c>
      <c r="H12" s="25">
        <f>SQRT(H11)</f>
        <v>20.928449536456348</v>
      </c>
      <c r="J12" s="10" t="s">
        <v>32</v>
      </c>
      <c r="K12" s="25">
        <f>SQRT(K11)</f>
        <v>21.166010488516726</v>
      </c>
    </row>
    <row r="13" spans="1:11" x14ac:dyDescent="0.3">
      <c r="A13" s="21"/>
      <c r="B13" s="22"/>
      <c r="D13" s="21"/>
      <c r="E13" s="22"/>
      <c r="G13" s="21"/>
      <c r="H13" s="22"/>
      <c r="J13" s="21"/>
      <c r="K13" s="22"/>
    </row>
    <row r="14" spans="1:11" ht="15" thickBot="1" x14ac:dyDescent="0.35">
      <c r="A14" s="23" t="s">
        <v>12</v>
      </c>
      <c r="B14" s="24">
        <f>(B12*B8)/3.92</f>
        <v>0.80039052967910607</v>
      </c>
      <c r="D14" s="23" t="s">
        <v>12</v>
      </c>
      <c r="E14" s="24">
        <f>(E12*E8)/3.92</f>
        <v>0.80644933310395062</v>
      </c>
      <c r="G14" s="23" t="s">
        <v>12</v>
      </c>
      <c r="H14" s="24">
        <f>(H12*H8)/3.92</f>
        <v>571.26125010225235</v>
      </c>
      <c r="J14" s="23" t="s">
        <v>12</v>
      </c>
      <c r="K14" s="24">
        <f>(K12*K8)/3.92</f>
        <v>572.34620198540131</v>
      </c>
    </row>
    <row r="15" spans="1:11" ht="15" thickBot="1" x14ac:dyDescent="0.35"/>
    <row r="16" spans="1:11" ht="15.6" x14ac:dyDescent="0.3">
      <c r="A16" s="143" t="s">
        <v>42</v>
      </c>
      <c r="B16" s="144"/>
      <c r="D16" s="143" t="s">
        <v>42</v>
      </c>
      <c r="E16" s="144"/>
      <c r="G16" s="143" t="s">
        <v>42</v>
      </c>
      <c r="H16" s="144"/>
      <c r="J16" s="143" t="s">
        <v>42</v>
      </c>
      <c r="K16" s="144"/>
    </row>
    <row r="17" spans="1:11" x14ac:dyDescent="0.3">
      <c r="A17" s="139" t="s">
        <v>29</v>
      </c>
      <c r="B17" s="140"/>
      <c r="D17" s="139" t="s">
        <v>29</v>
      </c>
      <c r="E17" s="140"/>
      <c r="G17" s="145" t="s">
        <v>29</v>
      </c>
      <c r="H17" s="146"/>
      <c r="J17" s="145" t="s">
        <v>29</v>
      </c>
      <c r="K17" s="146"/>
    </row>
    <row r="18" spans="1:11" x14ac:dyDescent="0.3">
      <c r="A18" s="9" t="s">
        <v>8</v>
      </c>
      <c r="B18" s="20"/>
      <c r="D18" s="9" t="s">
        <v>8</v>
      </c>
      <c r="E18" s="20"/>
      <c r="G18" s="9" t="s">
        <v>8</v>
      </c>
      <c r="H18" s="20">
        <v>-34</v>
      </c>
      <c r="J18" s="9" t="s">
        <v>8</v>
      </c>
      <c r="K18" s="20">
        <v>-66</v>
      </c>
    </row>
    <row r="19" spans="1:11" x14ac:dyDescent="0.3">
      <c r="A19" s="9" t="s">
        <v>7</v>
      </c>
      <c r="B19" s="20"/>
      <c r="D19" s="9" t="s">
        <v>7</v>
      </c>
      <c r="E19" s="20"/>
      <c r="G19" s="9" t="s">
        <v>7</v>
      </c>
      <c r="H19" s="20">
        <v>126</v>
      </c>
      <c r="J19" s="9" t="s">
        <v>7</v>
      </c>
      <c r="K19" s="20">
        <v>93</v>
      </c>
    </row>
    <row r="20" spans="1:11" x14ac:dyDescent="0.3">
      <c r="A20" s="10" t="s">
        <v>9</v>
      </c>
      <c r="B20" s="11">
        <f>B19-B18</f>
        <v>0</v>
      </c>
      <c r="D20" s="10" t="s">
        <v>9</v>
      </c>
      <c r="E20" s="11">
        <f>E19-E18</f>
        <v>0</v>
      </c>
      <c r="G20" s="10" t="s">
        <v>9</v>
      </c>
      <c r="H20" s="11">
        <f>H19-H18</f>
        <v>160</v>
      </c>
      <c r="J20" s="10" t="s">
        <v>9</v>
      </c>
      <c r="K20" s="11">
        <f>K19-K18</f>
        <v>159</v>
      </c>
    </row>
    <row r="21" spans="1:11" x14ac:dyDescent="0.3">
      <c r="A21" s="21"/>
      <c r="B21" s="22"/>
      <c r="D21" s="21"/>
      <c r="E21" s="22"/>
      <c r="G21" s="21"/>
      <c r="H21" s="22"/>
      <c r="J21" s="21"/>
      <c r="K21" s="22"/>
    </row>
    <row r="22" spans="1:11" ht="15.6" x14ac:dyDescent="0.3">
      <c r="A22" s="141" t="s">
        <v>10</v>
      </c>
      <c r="B22" s="142"/>
      <c r="D22" s="141" t="s">
        <v>10</v>
      </c>
      <c r="E22" s="142"/>
      <c r="G22" s="147" t="s">
        <v>10</v>
      </c>
      <c r="H22" s="148"/>
      <c r="J22" s="147" t="s">
        <v>10</v>
      </c>
      <c r="K22" s="148"/>
    </row>
    <row r="23" spans="1:11" x14ac:dyDescent="0.3">
      <c r="A23" s="9" t="s">
        <v>11</v>
      </c>
      <c r="B23" s="20"/>
      <c r="D23" s="9" t="s">
        <v>11</v>
      </c>
      <c r="E23" s="20"/>
      <c r="G23" s="9" t="s">
        <v>11</v>
      </c>
      <c r="H23" s="20">
        <v>438</v>
      </c>
      <c r="J23" s="9" t="s">
        <v>11</v>
      </c>
      <c r="K23" s="20">
        <v>448</v>
      </c>
    </row>
    <row r="24" spans="1:11" x14ac:dyDescent="0.3">
      <c r="A24" s="10" t="s">
        <v>32</v>
      </c>
      <c r="B24" s="25">
        <f>SQRT(B23)</f>
        <v>0</v>
      </c>
      <c r="D24" s="10" t="s">
        <v>32</v>
      </c>
      <c r="E24" s="25">
        <f>SQRT(E23)</f>
        <v>0</v>
      </c>
      <c r="G24" s="10" t="s">
        <v>32</v>
      </c>
      <c r="H24" s="25">
        <f>SQRT(H23)</f>
        <v>20.928449536456348</v>
      </c>
      <c r="J24" s="10" t="s">
        <v>32</v>
      </c>
      <c r="K24" s="25">
        <f>SQRT(K23)</f>
        <v>21.166010488516726</v>
      </c>
    </row>
    <row r="25" spans="1:11" x14ac:dyDescent="0.3">
      <c r="A25" s="21"/>
      <c r="B25" s="22"/>
      <c r="D25" s="21"/>
      <c r="E25" s="22"/>
      <c r="G25" s="21"/>
      <c r="H25" s="22"/>
      <c r="J25" s="21"/>
      <c r="K25" s="22"/>
    </row>
    <row r="26" spans="1:11" ht="15" thickBot="1" x14ac:dyDescent="0.35">
      <c r="A26" s="23" t="s">
        <v>12</v>
      </c>
      <c r="B26" s="24">
        <f>(B24*B20)/3.92</f>
        <v>0</v>
      </c>
      <c r="D26" s="23" t="s">
        <v>12</v>
      </c>
      <c r="E26" s="24">
        <f>(E24*E20)/3.92</f>
        <v>0</v>
      </c>
      <c r="G26" s="23" t="s">
        <v>12</v>
      </c>
      <c r="H26" s="24">
        <f>(H24*H20)/3.92</f>
        <v>854.2224300594429</v>
      </c>
      <c r="J26" s="23" t="s">
        <v>12</v>
      </c>
      <c r="K26" s="24">
        <f>(K24*K20)/3.92</f>
        <v>858.5193029781019</v>
      </c>
    </row>
  </sheetData>
  <mergeCells count="26">
    <mergeCell ref="J22:K22"/>
    <mergeCell ref="G22:H22"/>
    <mergeCell ref="J17:K17"/>
    <mergeCell ref="G17:H17"/>
    <mergeCell ref="J16:K16"/>
    <mergeCell ref="G16:H16"/>
    <mergeCell ref="A22:B22"/>
    <mergeCell ref="D22:E22"/>
    <mergeCell ref="A16:B16"/>
    <mergeCell ref="D16:E16"/>
    <mergeCell ref="A17:B17"/>
    <mergeCell ref="D17:E17"/>
    <mergeCell ref="G4:H4"/>
    <mergeCell ref="G5:H5"/>
    <mergeCell ref="G10:H10"/>
    <mergeCell ref="J4:K4"/>
    <mergeCell ref="J5:K5"/>
    <mergeCell ref="J10:K10"/>
    <mergeCell ref="A2:D2"/>
    <mergeCell ref="C1:E1"/>
    <mergeCell ref="A5:B5"/>
    <mergeCell ref="A10:B10"/>
    <mergeCell ref="A4:B4"/>
    <mergeCell ref="D4:E4"/>
    <mergeCell ref="D5:E5"/>
    <mergeCell ref="D10:E10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selection activeCell="D14" sqref="D14:E14"/>
    </sheetView>
  </sheetViews>
  <sheetFormatPr defaultColWidth="9.109375" defaultRowHeight="13.8" x14ac:dyDescent="0.25"/>
  <cols>
    <col min="1" max="1" width="20.6640625" style="6" customWidth="1"/>
    <col min="2" max="2" width="13.109375" style="6" customWidth="1"/>
    <col min="3" max="3" width="5.6640625" style="6" customWidth="1"/>
    <col min="4" max="4" width="20.6640625" style="6" customWidth="1"/>
    <col min="5" max="5" width="13.109375" style="6" customWidth="1"/>
    <col min="6" max="7" width="5.6640625" style="6" customWidth="1"/>
    <col min="8" max="16384" width="9.109375" style="6"/>
  </cols>
  <sheetData>
    <row r="1" spans="1:6" s="116" customFormat="1" ht="39.75" customHeight="1" x14ac:dyDescent="0.3">
      <c r="A1" s="8"/>
      <c r="B1" s="8"/>
      <c r="C1" s="107"/>
      <c r="D1" s="134"/>
      <c r="E1" s="134"/>
      <c r="F1" s="134"/>
    </row>
    <row r="2" spans="1:6" ht="19.5" customHeight="1" x14ac:dyDescent="0.3">
      <c r="A2" s="137" t="s">
        <v>43</v>
      </c>
      <c r="B2" s="138"/>
      <c r="C2" s="138"/>
      <c r="D2" s="138"/>
    </row>
    <row r="3" spans="1:6" ht="14.4" thickBot="1" x14ac:dyDescent="0.3"/>
    <row r="4" spans="1:6" s="33" customFormat="1" ht="13.2" x14ac:dyDescent="0.25">
      <c r="A4" s="151" t="s">
        <v>76</v>
      </c>
      <c r="B4" s="152"/>
      <c r="D4" s="151" t="s">
        <v>42</v>
      </c>
      <c r="E4" s="152"/>
    </row>
    <row r="5" spans="1:6" s="33" customFormat="1" ht="13.2" x14ac:dyDescent="0.25">
      <c r="A5" s="149" t="s">
        <v>30</v>
      </c>
      <c r="B5" s="150"/>
      <c r="D5" s="149" t="s">
        <v>30</v>
      </c>
      <c r="E5" s="150"/>
    </row>
    <row r="6" spans="1:6" s="33" customFormat="1" ht="13.2" x14ac:dyDescent="0.25">
      <c r="A6" s="34" t="s">
        <v>31</v>
      </c>
      <c r="B6" s="35">
        <v>0.1</v>
      </c>
      <c r="D6" s="34" t="s">
        <v>31</v>
      </c>
      <c r="E6" s="35"/>
    </row>
    <row r="7" spans="1:6" s="33" customFormat="1" ht="13.2" x14ac:dyDescent="0.25">
      <c r="A7" s="36"/>
      <c r="B7" s="37"/>
      <c r="D7" s="36"/>
      <c r="E7" s="37"/>
    </row>
    <row r="8" spans="1:6" s="33" customFormat="1" ht="13.2" x14ac:dyDescent="0.25">
      <c r="A8" s="149" t="s">
        <v>10</v>
      </c>
      <c r="B8" s="150"/>
      <c r="D8" s="149" t="s">
        <v>10</v>
      </c>
      <c r="E8" s="150"/>
    </row>
    <row r="9" spans="1:6" s="33" customFormat="1" ht="13.2" x14ac:dyDescent="0.25">
      <c r="A9" s="34" t="s">
        <v>11</v>
      </c>
      <c r="B9" s="35">
        <v>41</v>
      </c>
      <c r="D9" s="34" t="s">
        <v>11</v>
      </c>
      <c r="E9" s="35"/>
    </row>
    <row r="10" spans="1:6" s="33" customFormat="1" ht="13.2" x14ac:dyDescent="0.25">
      <c r="A10" s="38" t="s">
        <v>32</v>
      </c>
      <c r="B10" s="39">
        <f>SQRT(B9)</f>
        <v>6.4031242374328485</v>
      </c>
      <c r="D10" s="38" t="s">
        <v>32</v>
      </c>
      <c r="E10" s="39">
        <f>SQRT(E9)</f>
        <v>0</v>
      </c>
    </row>
    <row r="11" spans="1:6" s="33" customFormat="1" ht="13.2" x14ac:dyDescent="0.25">
      <c r="A11" s="36"/>
      <c r="B11" s="37"/>
      <c r="D11" s="36"/>
      <c r="E11" s="37"/>
    </row>
    <row r="12" spans="1:6" s="33" customFormat="1" thickBot="1" x14ac:dyDescent="0.3">
      <c r="A12" s="40" t="s">
        <v>33</v>
      </c>
      <c r="B12" s="41">
        <f>B6*B10</f>
        <v>0.6403124237432849</v>
      </c>
      <c r="D12" s="40" t="s">
        <v>33</v>
      </c>
      <c r="E12" s="41">
        <f>E6*E10</f>
        <v>0</v>
      </c>
    </row>
    <row r="13" spans="1:6" s="33" customFormat="1" ht="27.15" customHeight="1" thickBot="1" x14ac:dyDescent="0.3"/>
    <row r="14" spans="1:6" s="33" customFormat="1" ht="13.2" x14ac:dyDescent="0.25">
      <c r="A14" s="151" t="s">
        <v>42</v>
      </c>
      <c r="B14" s="152"/>
      <c r="D14" s="151" t="s">
        <v>42</v>
      </c>
      <c r="E14" s="152"/>
    </row>
    <row r="15" spans="1:6" s="33" customFormat="1" ht="13.2" x14ac:dyDescent="0.25">
      <c r="A15" s="149" t="s">
        <v>30</v>
      </c>
      <c r="B15" s="150"/>
      <c r="D15" s="149" t="s">
        <v>30</v>
      </c>
      <c r="E15" s="150"/>
    </row>
    <row r="16" spans="1:6" s="33" customFormat="1" ht="13.2" x14ac:dyDescent="0.25">
      <c r="A16" s="34" t="s">
        <v>31</v>
      </c>
      <c r="B16" s="35"/>
      <c r="D16" s="34" t="s">
        <v>31</v>
      </c>
      <c r="E16" s="35"/>
    </row>
    <row r="17" spans="1:5" s="33" customFormat="1" ht="13.2" x14ac:dyDescent="0.25">
      <c r="A17" s="36"/>
      <c r="B17" s="37"/>
      <c r="D17" s="36"/>
      <c r="E17" s="37"/>
    </row>
    <row r="18" spans="1:5" s="33" customFormat="1" ht="13.2" x14ac:dyDescent="0.25">
      <c r="A18" s="149" t="s">
        <v>10</v>
      </c>
      <c r="B18" s="150"/>
      <c r="D18" s="149" t="s">
        <v>10</v>
      </c>
      <c r="E18" s="150"/>
    </row>
    <row r="19" spans="1:5" s="33" customFormat="1" ht="13.2" x14ac:dyDescent="0.25">
      <c r="A19" s="34" t="s">
        <v>11</v>
      </c>
      <c r="B19" s="35"/>
      <c r="D19" s="34" t="s">
        <v>11</v>
      </c>
      <c r="E19" s="35"/>
    </row>
    <row r="20" spans="1:5" s="33" customFormat="1" ht="13.2" x14ac:dyDescent="0.25">
      <c r="A20" s="38" t="s">
        <v>32</v>
      </c>
      <c r="B20" s="39">
        <f>SQRT(B19)</f>
        <v>0</v>
      </c>
      <c r="D20" s="38" t="s">
        <v>32</v>
      </c>
      <c r="E20" s="39">
        <f>SQRT(E19)</f>
        <v>0</v>
      </c>
    </row>
    <row r="21" spans="1:5" s="33" customFormat="1" ht="13.2" x14ac:dyDescent="0.25">
      <c r="A21" s="36"/>
      <c r="B21" s="37"/>
      <c r="D21" s="36"/>
      <c r="E21" s="37"/>
    </row>
    <row r="22" spans="1:5" s="33" customFormat="1" thickBot="1" x14ac:dyDescent="0.3">
      <c r="A22" s="40" t="s">
        <v>33</v>
      </c>
      <c r="B22" s="41">
        <f>B16*B20</f>
        <v>0</v>
      </c>
      <c r="D22" s="40" t="s">
        <v>33</v>
      </c>
      <c r="E22" s="41">
        <f>E16*E20</f>
        <v>0</v>
      </c>
    </row>
    <row r="23" spans="1:5" s="33" customFormat="1" ht="13.2" x14ac:dyDescent="0.25"/>
    <row r="24" spans="1:5" s="33" customFormat="1" ht="13.2" x14ac:dyDescent="0.25"/>
  </sheetData>
  <mergeCells count="14">
    <mergeCell ref="A2:D2"/>
    <mergeCell ref="D1:F1"/>
    <mergeCell ref="A18:B18"/>
    <mergeCell ref="D4:E4"/>
    <mergeCell ref="D5:E5"/>
    <mergeCell ref="D8:E8"/>
    <mergeCell ref="D14:E14"/>
    <mergeCell ref="D15:E15"/>
    <mergeCell ref="D18:E18"/>
    <mergeCell ref="A8:B8"/>
    <mergeCell ref="A14:B14"/>
    <mergeCell ref="A15:B15"/>
    <mergeCell ref="A4:B4"/>
    <mergeCell ref="A5:B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zoomScaleNormal="100" workbookViewId="0">
      <selection activeCell="G13" sqref="G13"/>
    </sheetView>
  </sheetViews>
  <sheetFormatPr defaultRowHeight="14.4" x14ac:dyDescent="0.3"/>
  <cols>
    <col min="1" max="1" width="20.6640625" customWidth="1"/>
    <col min="2" max="2" width="18" customWidth="1"/>
    <col min="3" max="3" width="5.6640625" customWidth="1"/>
    <col min="4" max="4" width="20.6640625" customWidth="1"/>
    <col min="5" max="5" width="16.88671875" customWidth="1"/>
    <col min="6" max="6" width="5.6640625" customWidth="1"/>
    <col min="7" max="7" width="33.88671875" customWidth="1"/>
  </cols>
  <sheetData>
    <row r="1" spans="1:7" s="6" customFormat="1" ht="39.75" customHeight="1" x14ac:dyDescent="0.25">
      <c r="A1" s="8"/>
      <c r="B1" s="8"/>
      <c r="C1" s="134"/>
      <c r="D1" s="134"/>
      <c r="E1" s="134"/>
      <c r="F1" s="32"/>
      <c r="G1" s="128"/>
    </row>
    <row r="2" spans="1:7" ht="21" customHeight="1" x14ac:dyDescent="0.3">
      <c r="A2" s="137" t="s">
        <v>43</v>
      </c>
      <c r="B2" s="138"/>
      <c r="C2" s="138"/>
      <c r="D2" s="138"/>
      <c r="G2" s="128"/>
    </row>
    <row r="3" spans="1:7" ht="15" thickBot="1" x14ac:dyDescent="0.35">
      <c r="G3" s="128"/>
    </row>
    <row r="4" spans="1:7" x14ac:dyDescent="0.3">
      <c r="A4" s="151" t="s">
        <v>42</v>
      </c>
      <c r="B4" s="152"/>
      <c r="D4" s="151" t="s">
        <v>42</v>
      </c>
      <c r="E4" s="152"/>
      <c r="G4" s="153" t="s">
        <v>120</v>
      </c>
    </row>
    <row r="5" spans="1:7" x14ac:dyDescent="0.3">
      <c r="A5" s="139" t="s">
        <v>80</v>
      </c>
      <c r="B5" s="140"/>
      <c r="D5" s="139" t="s">
        <v>80</v>
      </c>
      <c r="E5" s="140"/>
      <c r="G5" s="153"/>
    </row>
    <row r="6" spans="1:7" x14ac:dyDescent="0.3">
      <c r="A6" s="9" t="s">
        <v>8</v>
      </c>
      <c r="B6" s="20"/>
      <c r="D6" s="9" t="s">
        <v>8</v>
      </c>
      <c r="E6" s="20"/>
      <c r="G6" s="153"/>
    </row>
    <row r="7" spans="1:7" x14ac:dyDescent="0.3">
      <c r="A7" s="9" t="s">
        <v>7</v>
      </c>
      <c r="B7" s="20"/>
      <c r="D7" s="9" t="s">
        <v>7</v>
      </c>
      <c r="E7" s="20"/>
      <c r="G7" s="153"/>
    </row>
    <row r="8" spans="1:7" x14ac:dyDescent="0.3">
      <c r="A8" s="10" t="s">
        <v>81</v>
      </c>
      <c r="B8" s="11">
        <f>B7-B6</f>
        <v>0</v>
      </c>
      <c r="D8" s="10" t="s">
        <v>81</v>
      </c>
      <c r="E8" s="11">
        <f>E7-E6</f>
        <v>0</v>
      </c>
      <c r="G8" s="153"/>
    </row>
    <row r="9" spans="1:7" ht="14.4" customHeight="1" x14ac:dyDescent="0.3">
      <c r="A9" s="21"/>
      <c r="B9" s="22"/>
      <c r="D9" s="21"/>
      <c r="E9" s="22"/>
      <c r="G9" s="153"/>
    </row>
    <row r="10" spans="1:7" ht="14.4" customHeight="1" x14ac:dyDescent="0.3">
      <c r="A10" s="21"/>
      <c r="B10" s="22"/>
      <c r="D10" s="21"/>
      <c r="E10" s="22"/>
      <c r="G10" s="153"/>
    </row>
    <row r="11" spans="1:7" ht="15" customHeight="1" thickBot="1" x14ac:dyDescent="0.35">
      <c r="A11" s="23" t="s">
        <v>82</v>
      </c>
      <c r="B11" s="24">
        <f>(B7-B6)/1.35</f>
        <v>0</v>
      </c>
      <c r="D11" s="23" t="s">
        <v>82</v>
      </c>
      <c r="E11" s="24">
        <f>(E7-E6)/1.35</f>
        <v>0</v>
      </c>
      <c r="G11" s="153"/>
    </row>
    <row r="12" spans="1:7" ht="15" customHeight="1" thickBot="1" x14ac:dyDescent="0.35">
      <c r="G12" s="128"/>
    </row>
    <row r="13" spans="1:7" ht="14.4" customHeight="1" x14ac:dyDescent="0.3">
      <c r="A13" s="151" t="s">
        <v>42</v>
      </c>
      <c r="B13" s="152"/>
      <c r="D13" s="151" t="s">
        <v>42</v>
      </c>
      <c r="E13" s="152"/>
      <c r="G13" s="6" t="s">
        <v>123</v>
      </c>
    </row>
    <row r="14" spans="1:7" x14ac:dyDescent="0.3">
      <c r="A14" s="139" t="s">
        <v>80</v>
      </c>
      <c r="B14" s="140"/>
      <c r="D14" s="139" t="s">
        <v>80</v>
      </c>
      <c r="E14" s="140"/>
      <c r="G14" s="119" t="s">
        <v>121</v>
      </c>
    </row>
    <row r="15" spans="1:7" x14ac:dyDescent="0.3">
      <c r="A15" s="9" t="s">
        <v>8</v>
      </c>
      <c r="B15" s="20"/>
      <c r="D15" s="9" t="s">
        <v>8</v>
      </c>
      <c r="E15" s="20"/>
      <c r="G15" s="119" t="s">
        <v>122</v>
      </c>
    </row>
    <row r="16" spans="1:7" x14ac:dyDescent="0.3">
      <c r="A16" s="9" t="s">
        <v>7</v>
      </c>
      <c r="B16" s="20"/>
      <c r="D16" s="9" t="s">
        <v>7</v>
      </c>
      <c r="E16" s="20"/>
    </row>
    <row r="17" spans="1:5" x14ac:dyDescent="0.3">
      <c r="A17" s="10" t="s">
        <v>81</v>
      </c>
      <c r="B17" s="11">
        <f>B16-B15</f>
        <v>0</v>
      </c>
      <c r="D17" s="10" t="s">
        <v>81</v>
      </c>
      <c r="E17" s="11">
        <f>E16-E15</f>
        <v>0</v>
      </c>
    </row>
    <row r="18" spans="1:5" x14ac:dyDescent="0.3">
      <c r="A18" s="21"/>
      <c r="B18" s="22"/>
      <c r="D18" s="21"/>
      <c r="E18" s="22"/>
    </row>
    <row r="19" spans="1:5" x14ac:dyDescent="0.3">
      <c r="A19" s="21"/>
      <c r="B19" s="22"/>
      <c r="D19" s="21"/>
      <c r="E19" s="22"/>
    </row>
    <row r="20" spans="1:5" ht="15" thickBot="1" x14ac:dyDescent="0.35">
      <c r="A20" s="23" t="s">
        <v>82</v>
      </c>
      <c r="B20" s="24">
        <f>(B16-B15)/1.35</f>
        <v>0</v>
      </c>
      <c r="D20" s="23" t="s">
        <v>82</v>
      </c>
      <c r="E20" s="24">
        <f>(E16-E15)/1.35</f>
        <v>0</v>
      </c>
    </row>
  </sheetData>
  <mergeCells count="11">
    <mergeCell ref="C1:E1"/>
    <mergeCell ref="A2:D2"/>
    <mergeCell ref="A4:B4"/>
    <mergeCell ref="D4:E4"/>
    <mergeCell ref="G4:G11"/>
    <mergeCell ref="A13:B13"/>
    <mergeCell ref="D13:E13"/>
    <mergeCell ref="A14:B14"/>
    <mergeCell ref="D14:E14"/>
    <mergeCell ref="A5:B5"/>
    <mergeCell ref="D5:E5"/>
  </mergeCells>
  <hyperlinks>
    <hyperlink ref="G14" r:id="rId1" xr:uid="{00000000-0004-0000-0400-000000000000}"/>
    <hyperlink ref="G15" r:id="rId2" xr:uid="{00000000-0004-0000-0400-000001000000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5"/>
  <sheetViews>
    <sheetView showGridLines="0" topLeftCell="A7" zoomScaleNormal="100" workbookViewId="0">
      <selection activeCell="A14" sqref="A14"/>
    </sheetView>
  </sheetViews>
  <sheetFormatPr defaultRowHeight="14.4" x14ac:dyDescent="0.3"/>
  <cols>
    <col min="1" max="1" width="21.109375" customWidth="1"/>
    <col min="2" max="2" width="4.88671875" customWidth="1"/>
    <col min="3" max="3" width="17.88671875" customWidth="1"/>
    <col min="4" max="4" width="6.109375" customWidth="1"/>
    <col min="5" max="5" width="8.44140625" customWidth="1"/>
    <col min="6" max="6" width="20.109375" customWidth="1"/>
    <col min="7" max="7" width="5.109375" customWidth="1"/>
    <col min="8" max="8" width="19.5546875" customWidth="1"/>
    <col min="9" max="9" width="5.6640625" customWidth="1"/>
    <col min="10" max="10" width="21.5546875" customWidth="1"/>
    <col min="11" max="11" width="5.109375" customWidth="1"/>
    <col min="12" max="12" width="19.88671875" customWidth="1"/>
    <col min="13" max="13" width="5.6640625" customWidth="1"/>
    <col min="14" max="14" width="21.5546875" customWidth="1"/>
    <col min="15" max="15" width="5.109375" customWidth="1"/>
    <col min="16" max="16" width="22.6640625" customWidth="1"/>
    <col min="17" max="17" width="9.6640625" customWidth="1"/>
    <col min="21" max="21" width="15.88671875" customWidth="1"/>
  </cols>
  <sheetData>
    <row r="1" spans="1:25" s="116" customFormat="1" ht="39.75" customHeight="1" x14ac:dyDescent="0.3">
      <c r="A1" s="8"/>
      <c r="B1" s="8"/>
      <c r="C1" s="107"/>
      <c r="D1" s="134"/>
      <c r="E1" s="134"/>
      <c r="F1" s="134"/>
      <c r="G1" s="134"/>
      <c r="H1" s="107"/>
    </row>
    <row r="2" spans="1:25" ht="83.25" customHeight="1" x14ac:dyDescent="0.3">
      <c r="A2" s="164" t="s">
        <v>52</v>
      </c>
      <c r="B2" s="164"/>
      <c r="C2" s="164"/>
      <c r="D2" s="164"/>
      <c r="E2" s="164"/>
      <c r="F2" s="164"/>
      <c r="G2" s="164"/>
      <c r="H2" s="164"/>
      <c r="J2" s="106" t="s">
        <v>55</v>
      </c>
    </row>
    <row r="3" spans="1:25" ht="15" thickBot="1" x14ac:dyDescent="0.35"/>
    <row r="4" spans="1:25" s="33" customFormat="1" ht="43.5" customHeight="1" x14ac:dyDescent="0.25">
      <c r="A4" s="165" t="s">
        <v>6</v>
      </c>
      <c r="B4" s="166"/>
      <c r="C4" s="166"/>
      <c r="D4" s="167"/>
      <c r="F4" s="154" t="s">
        <v>64</v>
      </c>
      <c r="G4" s="155"/>
      <c r="H4" s="156"/>
      <c r="I4" s="42"/>
      <c r="J4" s="154" t="s">
        <v>65</v>
      </c>
      <c r="K4" s="155"/>
      <c r="L4" s="156"/>
      <c r="M4" s="42"/>
      <c r="N4" s="154" t="s">
        <v>66</v>
      </c>
      <c r="O4" s="155"/>
      <c r="P4" s="156"/>
      <c r="Q4" s="42"/>
      <c r="R4" s="42"/>
      <c r="S4" s="42"/>
      <c r="T4" s="43"/>
      <c r="U4" s="171"/>
      <c r="V4" s="171"/>
      <c r="W4" s="171"/>
      <c r="X4" s="171"/>
      <c r="Y4" s="44"/>
    </row>
    <row r="5" spans="1:25" s="33" customFormat="1" ht="13.2" x14ac:dyDescent="0.25">
      <c r="A5" s="160" t="s">
        <v>51</v>
      </c>
      <c r="B5" s="161"/>
      <c r="C5" s="162"/>
      <c r="D5" s="163"/>
      <c r="F5" s="168" t="s">
        <v>24</v>
      </c>
      <c r="G5" s="169"/>
      <c r="H5" s="170"/>
      <c r="I5" s="48"/>
      <c r="J5" s="45" t="s">
        <v>24</v>
      </c>
      <c r="K5" s="46"/>
      <c r="L5" s="47"/>
      <c r="M5" s="48"/>
      <c r="N5" s="45" t="s">
        <v>24</v>
      </c>
      <c r="O5" s="46"/>
      <c r="P5" s="47"/>
      <c r="Q5" s="48"/>
      <c r="R5" s="48"/>
      <c r="S5" s="48"/>
      <c r="T5" s="49"/>
      <c r="U5" s="49"/>
      <c r="V5" s="48"/>
      <c r="W5" s="48"/>
      <c r="X5" s="48"/>
      <c r="Y5" s="44"/>
    </row>
    <row r="6" spans="1:25" s="33" customFormat="1" ht="13.2" x14ac:dyDescent="0.25">
      <c r="A6" s="104" t="s">
        <v>40</v>
      </c>
      <c r="B6" s="48"/>
      <c r="C6" s="104" t="s">
        <v>4</v>
      </c>
      <c r="D6" s="50"/>
      <c r="F6" s="108" t="s">
        <v>41</v>
      </c>
      <c r="G6" s="109"/>
      <c r="H6" s="110" t="s">
        <v>26</v>
      </c>
      <c r="I6" s="48"/>
      <c r="J6" s="108" t="s">
        <v>25</v>
      </c>
      <c r="K6" s="109"/>
      <c r="L6" s="110" t="s">
        <v>26</v>
      </c>
      <c r="M6" s="54"/>
      <c r="N6" s="108" t="s">
        <v>25</v>
      </c>
      <c r="O6" s="109"/>
      <c r="P6" s="110" t="s">
        <v>26</v>
      </c>
      <c r="Q6" s="48"/>
      <c r="R6" s="54"/>
      <c r="S6" s="48"/>
      <c r="T6" s="43"/>
      <c r="U6" s="54"/>
      <c r="V6" s="48"/>
      <c r="W6" s="54"/>
      <c r="X6" s="48"/>
      <c r="Y6" s="44"/>
    </row>
    <row r="7" spans="1:25" s="33" customFormat="1" ht="13.2" x14ac:dyDescent="0.25">
      <c r="A7" s="105" t="s">
        <v>0</v>
      </c>
      <c r="B7" s="48"/>
      <c r="C7" s="105" t="s">
        <v>0</v>
      </c>
      <c r="D7" s="55"/>
      <c r="F7" s="56" t="s">
        <v>0</v>
      </c>
      <c r="G7" s="52"/>
      <c r="H7" s="57" t="s">
        <v>0</v>
      </c>
      <c r="I7" s="48"/>
      <c r="J7" s="56" t="s">
        <v>0</v>
      </c>
      <c r="K7" s="52"/>
      <c r="L7" s="57" t="s">
        <v>0</v>
      </c>
      <c r="M7" s="58"/>
      <c r="N7" s="56" t="s">
        <v>0</v>
      </c>
      <c r="O7" s="52"/>
      <c r="P7" s="57" t="s">
        <v>0</v>
      </c>
      <c r="Q7" s="48"/>
      <c r="R7" s="58"/>
      <c r="S7" s="48"/>
      <c r="T7" s="48"/>
      <c r="U7" s="58"/>
      <c r="V7" s="48"/>
      <c r="W7" s="58"/>
      <c r="X7" s="48"/>
      <c r="Y7" s="44"/>
    </row>
    <row r="8" spans="1:25" s="33" customFormat="1" ht="13.2" x14ac:dyDescent="0.25">
      <c r="A8" s="59">
        <v>0.61</v>
      </c>
      <c r="B8" s="60"/>
      <c r="C8" s="59">
        <v>0.64</v>
      </c>
      <c r="D8" s="61"/>
      <c r="F8" s="62">
        <v>1.48</v>
      </c>
      <c r="G8" s="52"/>
      <c r="H8" s="63">
        <v>1.38</v>
      </c>
      <c r="I8" s="48"/>
      <c r="J8" s="62">
        <v>1.5</v>
      </c>
      <c r="K8" s="52"/>
      <c r="L8" s="63"/>
      <c r="M8" s="64"/>
      <c r="N8" s="62">
        <v>1.47</v>
      </c>
      <c r="O8" s="52"/>
      <c r="P8" s="63"/>
      <c r="Q8" s="48"/>
      <c r="R8" s="44"/>
      <c r="S8" s="48"/>
      <c r="T8" s="48"/>
      <c r="U8" s="58"/>
      <c r="V8" s="48"/>
      <c r="W8" s="64"/>
      <c r="X8" s="48"/>
      <c r="Y8" s="44"/>
    </row>
    <row r="9" spans="1:25" s="33" customFormat="1" ht="13.2" x14ac:dyDescent="0.25">
      <c r="A9" s="105" t="s">
        <v>1</v>
      </c>
      <c r="B9" s="43"/>
      <c r="C9" s="105" t="s">
        <v>1</v>
      </c>
      <c r="D9" s="55"/>
      <c r="F9" s="56" t="s">
        <v>1</v>
      </c>
      <c r="G9" s="52"/>
      <c r="H9" s="57" t="s">
        <v>1</v>
      </c>
      <c r="I9" s="48"/>
      <c r="J9" s="56" t="s">
        <v>1</v>
      </c>
      <c r="K9" s="52"/>
      <c r="L9" s="57" t="s">
        <v>1</v>
      </c>
      <c r="M9" s="58"/>
      <c r="N9" s="56" t="s">
        <v>1</v>
      </c>
      <c r="O9" s="52"/>
      <c r="P9" s="57" t="s">
        <v>1</v>
      </c>
      <c r="Q9" s="48"/>
      <c r="R9" s="58"/>
      <c r="S9" s="48"/>
      <c r="T9" s="48"/>
      <c r="U9" s="58"/>
      <c r="V9" s="48"/>
      <c r="W9" s="58"/>
      <c r="X9" s="48"/>
      <c r="Y9" s="44"/>
    </row>
    <row r="10" spans="1:25" s="33" customFormat="1" ht="13.2" x14ac:dyDescent="0.25">
      <c r="A10" s="59">
        <v>0.7</v>
      </c>
      <c r="B10" s="60"/>
      <c r="C10" s="59">
        <v>0.64</v>
      </c>
      <c r="D10" s="61"/>
      <c r="F10" s="62">
        <v>1.55</v>
      </c>
      <c r="G10" s="52"/>
      <c r="H10" s="63">
        <v>1.47</v>
      </c>
      <c r="I10" s="48"/>
      <c r="J10" s="62">
        <v>1.5</v>
      </c>
      <c r="K10" s="52"/>
      <c r="L10" s="63"/>
      <c r="M10" s="64"/>
      <c r="N10" s="62">
        <v>1.52</v>
      </c>
      <c r="O10" s="52"/>
      <c r="P10" s="63"/>
      <c r="Q10" s="48"/>
      <c r="R10" s="44"/>
      <c r="S10" s="48"/>
      <c r="T10" s="48"/>
      <c r="U10" s="58"/>
      <c r="V10" s="48"/>
      <c r="W10" s="64"/>
      <c r="X10" s="48"/>
      <c r="Y10" s="44"/>
    </row>
    <row r="11" spans="1:25" s="33" customFormat="1" ht="13.2" x14ac:dyDescent="0.25">
      <c r="A11" s="105" t="s">
        <v>2</v>
      </c>
      <c r="B11" s="43"/>
      <c r="C11" s="105" t="s">
        <v>2</v>
      </c>
      <c r="D11" s="55"/>
      <c r="F11" s="65"/>
      <c r="G11" s="52"/>
      <c r="H11" s="66"/>
      <c r="I11" s="48"/>
      <c r="J11" s="65"/>
      <c r="K11" s="52"/>
      <c r="L11" s="66"/>
      <c r="M11" s="48"/>
      <c r="N11" s="65"/>
      <c r="O11" s="52"/>
      <c r="P11" s="66"/>
      <c r="Q11" s="48"/>
      <c r="R11" s="48"/>
      <c r="S11" s="48"/>
      <c r="T11" s="48"/>
      <c r="U11" s="48"/>
      <c r="V11" s="48"/>
      <c r="W11" s="48"/>
      <c r="X11" s="48"/>
      <c r="Y11" s="44"/>
    </row>
    <row r="12" spans="1:25" s="33" customFormat="1" ht="13.2" x14ac:dyDescent="0.25">
      <c r="A12" s="59">
        <v>0.8</v>
      </c>
      <c r="B12" s="60"/>
      <c r="C12" s="59">
        <v>0.8</v>
      </c>
      <c r="D12" s="61"/>
      <c r="F12" s="65"/>
      <c r="G12" s="52"/>
      <c r="H12" s="66"/>
      <c r="I12" s="48"/>
      <c r="J12" s="65"/>
      <c r="K12" s="52"/>
      <c r="L12" s="66"/>
      <c r="M12" s="48"/>
      <c r="N12" s="65"/>
      <c r="O12" s="52"/>
      <c r="P12" s="66"/>
      <c r="Q12" s="48"/>
      <c r="R12" s="48"/>
      <c r="S12" s="48"/>
      <c r="T12" s="48"/>
      <c r="U12" s="48"/>
      <c r="V12" s="48"/>
      <c r="W12" s="48"/>
      <c r="X12" s="48"/>
      <c r="Y12" s="44"/>
    </row>
    <row r="13" spans="1:25" s="33" customFormat="1" ht="13.2" x14ac:dyDescent="0.25">
      <c r="A13" s="67" t="s">
        <v>3</v>
      </c>
      <c r="B13" s="68"/>
      <c r="C13" s="67" t="s">
        <v>3</v>
      </c>
      <c r="D13" s="61"/>
      <c r="F13" s="69" t="s">
        <v>3</v>
      </c>
      <c r="G13" s="70"/>
      <c r="H13" s="71" t="s">
        <v>3</v>
      </c>
      <c r="I13" s="72"/>
      <c r="J13" s="69" t="s">
        <v>3</v>
      </c>
      <c r="K13" s="70"/>
      <c r="L13" s="71" t="s">
        <v>3</v>
      </c>
      <c r="M13" s="73"/>
      <c r="N13" s="69" t="s">
        <v>3</v>
      </c>
      <c r="O13" s="70"/>
      <c r="P13" s="71" t="s">
        <v>3</v>
      </c>
      <c r="Q13" s="73"/>
      <c r="R13" s="73"/>
      <c r="S13" s="72"/>
      <c r="T13" s="74"/>
      <c r="U13" s="73"/>
      <c r="V13" s="73"/>
      <c r="W13" s="73"/>
      <c r="X13" s="72"/>
      <c r="Y13" s="44"/>
    </row>
    <row r="14" spans="1:25" s="33" customFormat="1" ht="13.8" thickBot="1" x14ac:dyDescent="0.3">
      <c r="A14" s="75">
        <f>((A8*A8)+(A10*A10)-(A12*A12))/(2*(A8*A10))</f>
        <v>0.26007025761124092</v>
      </c>
      <c r="B14" s="76"/>
      <c r="C14" s="77">
        <f>((C8*C8)+(C10*C10)-(C12*C12))/(2*(C8*C10))</f>
        <v>0.21874999999999989</v>
      </c>
      <c r="D14" s="78"/>
      <c r="F14" s="79">
        <f>$A$14</f>
        <v>0.26007025761124092</v>
      </c>
      <c r="G14" s="70"/>
      <c r="H14" s="80">
        <f>$C$14</f>
        <v>0.21874999999999989</v>
      </c>
      <c r="I14" s="72"/>
      <c r="J14" s="79">
        <f>$A$14</f>
        <v>0.26007025761124092</v>
      </c>
      <c r="K14" s="70"/>
      <c r="L14" s="80">
        <f>$C$14</f>
        <v>0.21874999999999989</v>
      </c>
      <c r="M14" s="81"/>
      <c r="N14" s="79">
        <f>$A$14</f>
        <v>0.26007025761124092</v>
      </c>
      <c r="O14" s="70"/>
      <c r="P14" s="80">
        <f>$C$14</f>
        <v>0.21874999999999989</v>
      </c>
      <c r="Q14" s="73"/>
      <c r="R14" s="81"/>
      <c r="S14" s="72"/>
      <c r="T14" s="82"/>
      <c r="U14" s="81"/>
      <c r="V14" s="73"/>
      <c r="W14" s="81"/>
      <c r="X14" s="72"/>
      <c r="Y14" s="44"/>
    </row>
    <row r="15" spans="1:25" s="33" customFormat="1" ht="13.2" x14ac:dyDescent="0.25">
      <c r="A15" s="60"/>
      <c r="B15" s="60"/>
      <c r="C15" s="60"/>
      <c r="D15" s="60"/>
      <c r="F15" s="157" t="s">
        <v>27</v>
      </c>
      <c r="G15" s="158"/>
      <c r="H15" s="159"/>
      <c r="I15" s="44"/>
      <c r="J15" s="157" t="s">
        <v>27</v>
      </c>
      <c r="K15" s="158"/>
      <c r="L15" s="159"/>
      <c r="M15" s="44"/>
      <c r="N15" s="157" t="s">
        <v>27</v>
      </c>
      <c r="O15" s="158"/>
      <c r="P15" s="159"/>
      <c r="Q15" s="44"/>
      <c r="R15" s="44"/>
      <c r="S15" s="44"/>
      <c r="T15" s="44"/>
      <c r="U15" s="44"/>
      <c r="V15" s="44"/>
      <c r="W15" s="44"/>
      <c r="X15" s="44"/>
      <c r="Y15" s="44"/>
    </row>
    <row r="16" spans="1:25" s="33" customFormat="1" ht="21.75" customHeight="1" x14ac:dyDescent="0.25">
      <c r="A16" s="83"/>
      <c r="F16" s="84" t="s">
        <v>5</v>
      </c>
      <c r="G16" s="85"/>
      <c r="H16" s="86" t="s">
        <v>5</v>
      </c>
      <c r="I16" s="87"/>
      <c r="J16" s="84" t="s">
        <v>5</v>
      </c>
      <c r="K16" s="85"/>
      <c r="L16" s="86" t="s">
        <v>5</v>
      </c>
      <c r="M16" s="87"/>
      <c r="N16" s="84" t="s">
        <v>5</v>
      </c>
      <c r="O16" s="85"/>
      <c r="P16" s="86" t="s">
        <v>5</v>
      </c>
      <c r="Q16" s="87"/>
      <c r="R16" s="87"/>
      <c r="S16" s="87"/>
      <c r="T16" s="87"/>
      <c r="U16" s="87"/>
      <c r="V16" s="87"/>
      <c r="W16" s="87"/>
      <c r="X16" s="87"/>
      <c r="Y16" s="44"/>
    </row>
    <row r="17" spans="1:26" s="33" customFormat="1" ht="22.5" customHeight="1" thickBot="1" x14ac:dyDescent="0.3">
      <c r="A17" s="88"/>
      <c r="C17" s="89"/>
      <c r="F17" s="90">
        <f>SQRT((F8*F8)+(F10*F10)-(2*F14*F8*F10))</f>
        <v>1.8438269056719037</v>
      </c>
      <c r="G17" s="91"/>
      <c r="H17" s="92">
        <f>SQRT((H8*H8)+(H10*H10)-(2*H14*H8*H10))</f>
        <v>1.7826349878760934</v>
      </c>
      <c r="I17" s="87"/>
      <c r="J17" s="90">
        <f>SQRT((J8*J8)+(J10*J10)-(2*J14*J8*J10))</f>
        <v>1.8247421299321764</v>
      </c>
      <c r="K17" s="91"/>
      <c r="L17" s="92">
        <f>SQRT((L8*L8)+(L10*L10)-(2*L14*L8*L10))</f>
        <v>0</v>
      </c>
      <c r="M17" s="93"/>
      <c r="N17" s="90">
        <f>SQRT((N8*N8)+(N10*N10)-(2*N14*N8*N10))</f>
        <v>1.8190926399683127</v>
      </c>
      <c r="O17" s="91"/>
      <c r="P17" s="92">
        <f>SQRT((P8*P8)+(P10*P10)-(2*P14*P8*P10))</f>
        <v>0</v>
      </c>
      <c r="Q17" s="87"/>
      <c r="R17" s="94"/>
      <c r="S17" s="87"/>
      <c r="T17" s="87"/>
      <c r="U17" s="93"/>
      <c r="V17" s="87"/>
      <c r="W17" s="93"/>
      <c r="X17" s="87"/>
      <c r="Y17" s="44"/>
    </row>
    <row r="18" spans="1:26" s="33" customFormat="1" ht="13.2" x14ac:dyDescent="0.25">
      <c r="C18" s="89"/>
    </row>
    <row r="19" spans="1:26" s="33" customFormat="1" ht="13.8" thickBot="1" x14ac:dyDescent="0.3">
      <c r="C19" s="89"/>
    </row>
    <row r="20" spans="1:26" s="33" customFormat="1" ht="42.75" customHeight="1" x14ac:dyDescent="0.25">
      <c r="C20" s="89"/>
      <c r="F20" s="154" t="s">
        <v>44</v>
      </c>
      <c r="G20" s="155"/>
      <c r="H20" s="156"/>
      <c r="I20" s="42"/>
      <c r="J20" s="154" t="s">
        <v>44</v>
      </c>
      <c r="K20" s="155"/>
      <c r="L20" s="156"/>
      <c r="M20" s="42"/>
      <c r="N20" s="154" t="s">
        <v>44</v>
      </c>
      <c r="O20" s="155"/>
      <c r="P20" s="156"/>
    </row>
    <row r="21" spans="1:26" s="33" customFormat="1" ht="13.2" x14ac:dyDescent="0.25">
      <c r="C21" s="89"/>
      <c r="F21" s="45" t="s">
        <v>24</v>
      </c>
      <c r="G21" s="46"/>
      <c r="H21" s="47"/>
      <c r="I21" s="48"/>
      <c r="J21" s="45" t="s">
        <v>24</v>
      </c>
      <c r="K21" s="46"/>
      <c r="L21" s="47"/>
      <c r="M21" s="48"/>
      <c r="N21" s="45" t="s">
        <v>24</v>
      </c>
      <c r="O21" s="46"/>
      <c r="P21" s="47"/>
    </row>
    <row r="22" spans="1:26" s="33" customFormat="1" ht="13.2" x14ac:dyDescent="0.25">
      <c r="C22" s="89"/>
      <c r="F22" s="51" t="s">
        <v>25</v>
      </c>
      <c r="G22" s="52"/>
      <c r="H22" s="53" t="s">
        <v>26</v>
      </c>
      <c r="I22" s="48"/>
      <c r="J22" s="51" t="s">
        <v>25</v>
      </c>
      <c r="K22" s="52"/>
      <c r="L22" s="53" t="s">
        <v>26</v>
      </c>
      <c r="M22" s="54"/>
      <c r="N22" s="51" t="s">
        <v>25</v>
      </c>
      <c r="O22" s="52"/>
      <c r="P22" s="53" t="s">
        <v>26</v>
      </c>
    </row>
    <row r="23" spans="1:26" s="33" customFormat="1" ht="13.2" x14ac:dyDescent="0.25">
      <c r="C23" s="89"/>
      <c r="F23" s="56" t="s">
        <v>0</v>
      </c>
      <c r="G23" s="52"/>
      <c r="H23" s="57" t="s">
        <v>0</v>
      </c>
      <c r="I23" s="48"/>
      <c r="J23" s="56" t="s">
        <v>0</v>
      </c>
      <c r="K23" s="52"/>
      <c r="L23" s="57" t="s">
        <v>0</v>
      </c>
      <c r="M23" s="58"/>
      <c r="N23" s="56" t="s">
        <v>0</v>
      </c>
      <c r="O23" s="52"/>
      <c r="P23" s="57" t="s">
        <v>0</v>
      </c>
    </row>
    <row r="24" spans="1:26" s="33" customFormat="1" ht="13.2" x14ac:dyDescent="0.25">
      <c r="C24" s="89"/>
      <c r="F24" s="62"/>
      <c r="G24" s="52"/>
      <c r="H24" s="63"/>
      <c r="I24" s="48"/>
      <c r="J24" s="62"/>
      <c r="K24" s="52"/>
      <c r="L24" s="63"/>
      <c r="M24" s="64"/>
      <c r="N24" s="62"/>
      <c r="O24" s="52"/>
      <c r="P24" s="63"/>
    </row>
    <row r="25" spans="1:26" s="33" customFormat="1" ht="13.2" x14ac:dyDescent="0.25">
      <c r="C25" s="89"/>
      <c r="F25" s="56" t="s">
        <v>1</v>
      </c>
      <c r="G25" s="52"/>
      <c r="H25" s="57" t="s">
        <v>1</v>
      </c>
      <c r="I25" s="48"/>
      <c r="J25" s="56" t="s">
        <v>1</v>
      </c>
      <c r="K25" s="52"/>
      <c r="L25" s="57" t="s">
        <v>1</v>
      </c>
      <c r="M25" s="58"/>
      <c r="N25" s="56" t="s">
        <v>1</v>
      </c>
      <c r="O25" s="52"/>
      <c r="P25" s="57" t="s">
        <v>1</v>
      </c>
    </row>
    <row r="26" spans="1:26" s="33" customFormat="1" ht="13.2" x14ac:dyDescent="0.25">
      <c r="C26" s="89"/>
      <c r="F26" s="62"/>
      <c r="G26" s="52"/>
      <c r="H26" s="63"/>
      <c r="I26" s="48"/>
      <c r="J26" s="62"/>
      <c r="K26" s="52"/>
      <c r="L26" s="63"/>
      <c r="M26" s="64"/>
      <c r="N26" s="62"/>
      <c r="O26" s="52"/>
      <c r="P26" s="63"/>
    </row>
    <row r="27" spans="1:26" s="33" customFormat="1" ht="13.2" x14ac:dyDescent="0.25">
      <c r="C27" s="89"/>
      <c r="F27" s="65"/>
      <c r="G27" s="52"/>
      <c r="H27" s="66"/>
      <c r="I27" s="48"/>
      <c r="J27" s="65"/>
      <c r="K27" s="52"/>
      <c r="L27" s="66"/>
      <c r="M27" s="48"/>
      <c r="N27" s="65"/>
      <c r="O27" s="52"/>
      <c r="P27" s="66"/>
    </row>
    <row r="28" spans="1:26" s="33" customFormat="1" ht="13.2" x14ac:dyDescent="0.25">
      <c r="C28" s="89"/>
      <c r="F28" s="65"/>
      <c r="G28" s="52"/>
      <c r="H28" s="66"/>
      <c r="I28" s="48"/>
      <c r="J28" s="65"/>
      <c r="K28" s="52"/>
      <c r="L28" s="66"/>
      <c r="M28" s="48"/>
      <c r="N28" s="65"/>
      <c r="O28" s="52"/>
      <c r="P28" s="66"/>
    </row>
    <row r="29" spans="1:26" s="33" customFormat="1" ht="13.2" x14ac:dyDescent="0.25">
      <c r="C29" s="89"/>
      <c r="F29" s="69" t="s">
        <v>3</v>
      </c>
      <c r="G29" s="70"/>
      <c r="H29" s="71" t="s">
        <v>3</v>
      </c>
      <c r="I29" s="72"/>
      <c r="J29" s="69" t="s">
        <v>3</v>
      </c>
      <c r="K29" s="70"/>
      <c r="L29" s="71" t="s">
        <v>3</v>
      </c>
      <c r="M29" s="73"/>
      <c r="N29" s="69" t="s">
        <v>3</v>
      </c>
      <c r="O29" s="70"/>
      <c r="P29" s="71" t="s">
        <v>3</v>
      </c>
    </row>
    <row r="30" spans="1:26" s="33" customFormat="1" ht="13.2" x14ac:dyDescent="0.25">
      <c r="C30" s="89"/>
      <c r="F30" s="79">
        <f>$A$14</f>
        <v>0.26007025761124092</v>
      </c>
      <c r="G30" s="70"/>
      <c r="H30" s="80">
        <f>$C$14</f>
        <v>0.21874999999999989</v>
      </c>
      <c r="I30" s="72"/>
      <c r="J30" s="79">
        <f>$A$14</f>
        <v>0.26007025761124092</v>
      </c>
      <c r="K30" s="70"/>
      <c r="L30" s="80">
        <f>$C$14</f>
        <v>0.21874999999999989</v>
      </c>
      <c r="M30" s="81"/>
      <c r="N30" s="79">
        <f>$A$14</f>
        <v>0.26007025761124092</v>
      </c>
      <c r="O30" s="70"/>
      <c r="P30" s="80">
        <f>$C$14</f>
        <v>0.21874999999999989</v>
      </c>
    </row>
    <row r="31" spans="1:26" s="33" customFormat="1" ht="13.2" x14ac:dyDescent="0.25">
      <c r="C31" s="89"/>
      <c r="F31" s="157" t="s">
        <v>27</v>
      </c>
      <c r="G31" s="158"/>
      <c r="H31" s="159"/>
      <c r="I31" s="44"/>
      <c r="J31" s="157" t="s">
        <v>27</v>
      </c>
      <c r="K31" s="158"/>
      <c r="L31" s="159"/>
      <c r="M31" s="44"/>
      <c r="N31" s="157" t="s">
        <v>27</v>
      </c>
      <c r="O31" s="158"/>
      <c r="P31" s="159"/>
    </row>
    <row r="32" spans="1:26" s="33" customFormat="1" ht="21.75" customHeight="1" x14ac:dyDescent="0.25">
      <c r="F32" s="84" t="s">
        <v>5</v>
      </c>
      <c r="G32" s="85"/>
      <c r="H32" s="86" t="s">
        <v>5</v>
      </c>
      <c r="I32" s="87"/>
      <c r="J32" s="84" t="s">
        <v>5</v>
      </c>
      <c r="K32" s="85"/>
      <c r="L32" s="86" t="s">
        <v>5</v>
      </c>
      <c r="M32" s="87"/>
      <c r="N32" s="84" t="s">
        <v>5</v>
      </c>
      <c r="O32" s="85"/>
      <c r="P32" s="86" t="s">
        <v>5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6:26" s="33" customFormat="1" ht="24" customHeight="1" thickBot="1" x14ac:dyDescent="0.3">
      <c r="F33" s="90">
        <f>SQRT((F24*F24)+(F26*F26)-(2*F30*F24*F26))</f>
        <v>0</v>
      </c>
      <c r="G33" s="91"/>
      <c r="H33" s="92">
        <f>SQRT((H24*H24)+(H26*H26)-(2*H30*H24*H26))</f>
        <v>0</v>
      </c>
      <c r="I33" s="87"/>
      <c r="J33" s="90">
        <f>SQRT((J24*J24)+(J26*J26)-(2*J30*J24*J26))</f>
        <v>0</v>
      </c>
      <c r="K33" s="91"/>
      <c r="L33" s="92">
        <f>SQRT((L24*L24)+(L26*L26)-(2*L30*L24*L26))</f>
        <v>0</v>
      </c>
      <c r="M33" s="93"/>
      <c r="N33" s="90">
        <f>SQRT((N24*N24)+(N26*N26)-(2*N30*N24*N26))</f>
        <v>0</v>
      </c>
      <c r="O33" s="91"/>
      <c r="P33" s="92">
        <f>SQRT((P24*P24)+(P26*P26)-(2*P30*P24*P26))</f>
        <v>0</v>
      </c>
      <c r="Q33" s="95"/>
      <c r="R33" s="95"/>
      <c r="S33" s="95"/>
      <c r="T33" s="95"/>
      <c r="U33" s="96"/>
      <c r="V33" s="95"/>
      <c r="W33" s="95"/>
      <c r="X33" s="95"/>
      <c r="Y33" s="95"/>
      <c r="Z33" s="95"/>
    </row>
    <row r="34" spans="6:26" s="33" customFormat="1" ht="13.2" x14ac:dyDescent="0.25">
      <c r="J34" s="95"/>
      <c r="K34" s="95"/>
      <c r="L34" s="95"/>
      <c r="M34" s="95"/>
      <c r="N34" s="95"/>
      <c r="O34" s="95"/>
      <c r="P34" s="95"/>
      <c r="Q34" s="97"/>
      <c r="R34" s="89"/>
      <c r="S34" s="89"/>
      <c r="T34" s="89"/>
      <c r="U34" s="95"/>
      <c r="V34" s="95"/>
      <c r="W34" s="95"/>
      <c r="X34" s="95"/>
      <c r="Y34" s="95"/>
      <c r="Z34" s="95"/>
    </row>
    <row r="35" spans="6:26" s="33" customFormat="1" ht="13.8" thickBot="1" x14ac:dyDescent="0.3">
      <c r="J35" s="95"/>
      <c r="K35" s="95"/>
      <c r="L35" s="95"/>
      <c r="M35" s="95"/>
      <c r="N35" s="95"/>
      <c r="O35" s="95"/>
      <c r="P35" s="95"/>
      <c r="Q35" s="97"/>
      <c r="R35" s="89"/>
      <c r="S35" s="89"/>
      <c r="T35" s="89"/>
      <c r="U35" s="95"/>
      <c r="V35" s="95"/>
      <c r="W35" s="95"/>
      <c r="X35" s="95"/>
      <c r="Y35" s="95"/>
      <c r="Z35" s="95"/>
    </row>
    <row r="36" spans="6:26" s="33" customFormat="1" ht="42.75" customHeight="1" x14ac:dyDescent="0.25">
      <c r="F36" s="154" t="s">
        <v>44</v>
      </c>
      <c r="G36" s="155"/>
      <c r="H36" s="156"/>
      <c r="I36" s="42"/>
      <c r="J36" s="154" t="s">
        <v>44</v>
      </c>
      <c r="K36" s="155"/>
      <c r="L36" s="156"/>
      <c r="M36" s="42"/>
      <c r="N36" s="154" t="s">
        <v>44</v>
      </c>
      <c r="O36" s="155"/>
      <c r="P36" s="156"/>
      <c r="Q36" s="97"/>
      <c r="R36" s="89"/>
      <c r="S36" s="89"/>
      <c r="T36" s="89"/>
      <c r="U36" s="95"/>
      <c r="V36" s="95"/>
      <c r="W36" s="95"/>
      <c r="X36" s="95"/>
      <c r="Y36" s="95"/>
      <c r="Z36" s="95"/>
    </row>
    <row r="37" spans="6:26" s="33" customFormat="1" ht="13.2" x14ac:dyDescent="0.25">
      <c r="F37" s="45" t="s">
        <v>24</v>
      </c>
      <c r="G37" s="46"/>
      <c r="H37" s="47"/>
      <c r="I37" s="48"/>
      <c r="J37" s="45" t="s">
        <v>24</v>
      </c>
      <c r="K37" s="46"/>
      <c r="L37" s="47"/>
      <c r="M37" s="48"/>
      <c r="N37" s="45" t="s">
        <v>24</v>
      </c>
      <c r="O37" s="46"/>
      <c r="P37" s="47"/>
      <c r="Q37" s="97"/>
      <c r="R37" s="89"/>
      <c r="S37" s="89"/>
      <c r="T37" s="89"/>
      <c r="U37" s="95"/>
      <c r="V37" s="95"/>
      <c r="W37" s="95"/>
      <c r="X37" s="95"/>
      <c r="Y37" s="95"/>
      <c r="Z37" s="95"/>
    </row>
    <row r="38" spans="6:26" s="33" customFormat="1" ht="13.2" x14ac:dyDescent="0.25">
      <c r="F38" s="51" t="s">
        <v>25</v>
      </c>
      <c r="G38" s="52"/>
      <c r="H38" s="53" t="s">
        <v>26</v>
      </c>
      <c r="I38" s="48"/>
      <c r="J38" s="51" t="s">
        <v>25</v>
      </c>
      <c r="K38" s="52"/>
      <c r="L38" s="53" t="s">
        <v>26</v>
      </c>
      <c r="M38" s="54"/>
      <c r="N38" s="51" t="s">
        <v>25</v>
      </c>
      <c r="O38" s="52"/>
      <c r="P38" s="53" t="s">
        <v>26</v>
      </c>
      <c r="Q38" s="97"/>
      <c r="R38" s="89"/>
      <c r="S38" s="89"/>
      <c r="T38" s="89"/>
      <c r="U38" s="95"/>
      <c r="V38" s="95"/>
      <c r="W38" s="95"/>
      <c r="X38" s="95"/>
      <c r="Y38" s="95"/>
      <c r="Z38" s="95"/>
    </row>
    <row r="39" spans="6:26" s="33" customFormat="1" ht="13.2" x14ac:dyDescent="0.25">
      <c r="F39" s="56" t="s">
        <v>0</v>
      </c>
      <c r="G39" s="52"/>
      <c r="H39" s="57" t="s">
        <v>0</v>
      </c>
      <c r="I39" s="48"/>
      <c r="J39" s="56" t="s">
        <v>0</v>
      </c>
      <c r="K39" s="52"/>
      <c r="L39" s="57" t="s">
        <v>0</v>
      </c>
      <c r="M39" s="58"/>
      <c r="N39" s="56" t="s">
        <v>0</v>
      </c>
      <c r="O39" s="52"/>
      <c r="P39" s="57" t="s">
        <v>0</v>
      </c>
      <c r="Q39" s="97"/>
      <c r="R39" s="89"/>
      <c r="S39" s="89"/>
      <c r="T39" s="89"/>
      <c r="U39" s="95"/>
      <c r="V39" s="95"/>
      <c r="W39" s="95"/>
      <c r="X39" s="95"/>
      <c r="Y39" s="95"/>
      <c r="Z39" s="95"/>
    </row>
    <row r="40" spans="6:26" s="33" customFormat="1" ht="13.2" x14ac:dyDescent="0.25">
      <c r="F40" s="62"/>
      <c r="G40" s="52"/>
      <c r="H40" s="63"/>
      <c r="I40" s="48"/>
      <c r="J40" s="62"/>
      <c r="K40" s="52"/>
      <c r="L40" s="63"/>
      <c r="M40" s="64"/>
      <c r="N40" s="62"/>
      <c r="O40" s="52"/>
      <c r="P40" s="63"/>
      <c r="Q40" s="97"/>
      <c r="R40" s="89"/>
      <c r="S40" s="89"/>
      <c r="T40" s="89"/>
      <c r="U40" s="95"/>
      <c r="V40" s="95"/>
      <c r="W40" s="95"/>
      <c r="X40" s="95"/>
      <c r="Y40" s="95"/>
      <c r="Z40" s="95"/>
    </row>
    <row r="41" spans="6:26" s="33" customFormat="1" ht="13.2" x14ac:dyDescent="0.25">
      <c r="F41" s="56" t="s">
        <v>1</v>
      </c>
      <c r="G41" s="52"/>
      <c r="H41" s="57" t="s">
        <v>1</v>
      </c>
      <c r="I41" s="48"/>
      <c r="J41" s="56" t="s">
        <v>1</v>
      </c>
      <c r="K41" s="52"/>
      <c r="L41" s="57" t="s">
        <v>1</v>
      </c>
      <c r="M41" s="58"/>
      <c r="N41" s="56" t="s">
        <v>1</v>
      </c>
      <c r="O41" s="52"/>
      <c r="P41" s="57" t="s">
        <v>1</v>
      </c>
      <c r="Q41" s="97"/>
      <c r="R41" s="89"/>
      <c r="S41" s="89"/>
      <c r="T41" s="89"/>
      <c r="U41" s="95"/>
      <c r="V41" s="95"/>
      <c r="W41" s="95"/>
      <c r="X41" s="95"/>
      <c r="Y41" s="95"/>
      <c r="Z41" s="95"/>
    </row>
    <row r="42" spans="6:26" s="33" customFormat="1" ht="13.2" x14ac:dyDescent="0.25">
      <c r="F42" s="62"/>
      <c r="G42" s="52"/>
      <c r="H42" s="63"/>
      <c r="I42" s="48"/>
      <c r="J42" s="62"/>
      <c r="K42" s="52"/>
      <c r="L42" s="63"/>
      <c r="M42" s="64"/>
      <c r="N42" s="62"/>
      <c r="O42" s="52"/>
      <c r="P42" s="63"/>
      <c r="Q42" s="97"/>
      <c r="R42" s="89"/>
      <c r="S42" s="89"/>
      <c r="T42" s="89"/>
      <c r="U42" s="95"/>
      <c r="V42" s="95"/>
      <c r="W42" s="95"/>
      <c r="X42" s="95"/>
      <c r="Y42" s="95"/>
      <c r="Z42" s="95"/>
    </row>
    <row r="43" spans="6:26" s="33" customFormat="1" ht="13.2" x14ac:dyDescent="0.25">
      <c r="F43" s="65"/>
      <c r="G43" s="52"/>
      <c r="H43" s="66"/>
      <c r="I43" s="48"/>
      <c r="J43" s="65"/>
      <c r="K43" s="52"/>
      <c r="L43" s="66"/>
      <c r="M43" s="48"/>
      <c r="N43" s="65"/>
      <c r="O43" s="52"/>
      <c r="P43" s="66"/>
      <c r="Q43" s="97"/>
      <c r="R43" s="89"/>
      <c r="S43" s="89"/>
      <c r="T43" s="89"/>
      <c r="U43" s="95"/>
      <c r="V43" s="95"/>
      <c r="W43" s="95"/>
      <c r="X43" s="95"/>
      <c r="Y43" s="95"/>
      <c r="Z43" s="95"/>
    </row>
    <row r="44" spans="6:26" s="33" customFormat="1" ht="13.2" x14ac:dyDescent="0.25">
      <c r="F44" s="65"/>
      <c r="G44" s="52"/>
      <c r="H44" s="66"/>
      <c r="I44" s="48"/>
      <c r="J44" s="65"/>
      <c r="K44" s="52"/>
      <c r="L44" s="66"/>
      <c r="M44" s="48"/>
      <c r="N44" s="65"/>
      <c r="O44" s="52"/>
      <c r="P44" s="66"/>
      <c r="Q44" s="97"/>
      <c r="R44" s="89"/>
      <c r="S44" s="89"/>
      <c r="T44" s="89"/>
      <c r="U44" s="95"/>
      <c r="V44" s="95"/>
      <c r="W44" s="95"/>
      <c r="X44" s="95"/>
      <c r="Y44" s="95"/>
      <c r="Z44" s="95"/>
    </row>
    <row r="45" spans="6:26" s="33" customFormat="1" ht="13.2" x14ac:dyDescent="0.25">
      <c r="F45" s="69" t="s">
        <v>3</v>
      </c>
      <c r="G45" s="70"/>
      <c r="H45" s="71" t="s">
        <v>3</v>
      </c>
      <c r="I45" s="72"/>
      <c r="J45" s="69" t="s">
        <v>3</v>
      </c>
      <c r="K45" s="70"/>
      <c r="L45" s="71" t="s">
        <v>3</v>
      </c>
      <c r="M45" s="73"/>
      <c r="N45" s="69" t="s">
        <v>3</v>
      </c>
      <c r="O45" s="70"/>
      <c r="P45" s="71" t="s">
        <v>3</v>
      </c>
      <c r="Q45" s="97"/>
      <c r="R45" s="89"/>
      <c r="S45" s="89"/>
      <c r="T45" s="89"/>
      <c r="U45" s="95"/>
      <c r="V45" s="95"/>
      <c r="W45" s="95"/>
      <c r="X45" s="95"/>
      <c r="Y45" s="95"/>
      <c r="Z45" s="95"/>
    </row>
    <row r="46" spans="6:26" s="33" customFormat="1" ht="13.2" x14ac:dyDescent="0.25">
      <c r="F46" s="79">
        <f>$A$14</f>
        <v>0.26007025761124092</v>
      </c>
      <c r="G46" s="70"/>
      <c r="H46" s="80">
        <f>$C$14</f>
        <v>0.21874999999999989</v>
      </c>
      <c r="I46" s="72"/>
      <c r="J46" s="79">
        <f>$A$14</f>
        <v>0.26007025761124092</v>
      </c>
      <c r="K46" s="70"/>
      <c r="L46" s="80">
        <f>$C$14</f>
        <v>0.21874999999999989</v>
      </c>
      <c r="M46" s="81"/>
      <c r="N46" s="79">
        <f>$A$14</f>
        <v>0.26007025761124092</v>
      </c>
      <c r="O46" s="70"/>
      <c r="P46" s="80">
        <f>$C$14</f>
        <v>0.21874999999999989</v>
      </c>
      <c r="Q46" s="97"/>
      <c r="R46" s="89"/>
      <c r="S46" s="89"/>
      <c r="T46" s="89"/>
      <c r="U46" s="95"/>
      <c r="V46" s="95"/>
      <c r="W46" s="95"/>
      <c r="X46" s="95"/>
      <c r="Y46" s="95"/>
      <c r="Z46" s="95"/>
    </row>
    <row r="47" spans="6:26" s="33" customFormat="1" ht="13.2" x14ac:dyDescent="0.25">
      <c r="F47" s="157" t="s">
        <v>27</v>
      </c>
      <c r="G47" s="158"/>
      <c r="H47" s="159"/>
      <c r="I47" s="44"/>
      <c r="J47" s="157" t="s">
        <v>27</v>
      </c>
      <c r="K47" s="158"/>
      <c r="L47" s="159"/>
      <c r="M47" s="44"/>
      <c r="N47" s="157" t="s">
        <v>27</v>
      </c>
      <c r="O47" s="158"/>
      <c r="P47" s="159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6:26" s="33" customFormat="1" ht="13.2" x14ac:dyDescent="0.25">
      <c r="F48" s="84" t="s">
        <v>5</v>
      </c>
      <c r="G48" s="85"/>
      <c r="H48" s="86" t="s">
        <v>5</v>
      </c>
      <c r="I48" s="87"/>
      <c r="J48" s="84" t="s">
        <v>5</v>
      </c>
      <c r="K48" s="85"/>
      <c r="L48" s="86" t="s">
        <v>5</v>
      </c>
      <c r="M48" s="87"/>
      <c r="N48" s="84" t="s">
        <v>5</v>
      </c>
      <c r="O48" s="85"/>
      <c r="P48" s="86" t="s">
        <v>5</v>
      </c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s="33" customFormat="1" ht="13.8" thickBot="1" x14ac:dyDescent="0.3">
      <c r="F49" s="90">
        <f>SQRT((F40*F40)+(F42*F42)-(2*F46*F40*F42))</f>
        <v>0</v>
      </c>
      <c r="G49" s="91"/>
      <c r="H49" s="92">
        <f>SQRT((H40*H40)+(H42*H42)-(2*H46*H40*H42))</f>
        <v>0</v>
      </c>
      <c r="I49" s="87"/>
      <c r="J49" s="90">
        <f>SQRT((J40*J40)+(J42*J42)-(2*J46*J40*J42))</f>
        <v>0</v>
      </c>
      <c r="K49" s="91"/>
      <c r="L49" s="92">
        <f>SQRT((L40*L40)+(L42*L42)-(2*L46*L40*L42))</f>
        <v>0</v>
      </c>
      <c r="M49" s="93"/>
      <c r="N49" s="90">
        <f>SQRT((N40*N40)+(N42*N42)-(2*N46*N40*N42))</f>
        <v>0</v>
      </c>
      <c r="O49" s="91"/>
      <c r="P49" s="92">
        <f>SQRT((P40*P40)+(P42*P42)-(2*P46*P40*P42))</f>
        <v>0</v>
      </c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s="33" customFormat="1" ht="13.2" x14ac:dyDescent="0.25">
      <c r="F50" s="98"/>
      <c r="G50" s="87"/>
      <c r="H50" s="98"/>
      <c r="I50" s="87"/>
      <c r="J50" s="98"/>
      <c r="K50" s="87"/>
      <c r="L50" s="98"/>
      <c r="M50" s="93"/>
      <c r="N50" s="98"/>
      <c r="O50" s="87"/>
      <c r="P50" s="98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s="95" customFormat="1" ht="13.2" x14ac:dyDescent="0.25">
      <c r="F51" s="98"/>
      <c r="G51" s="99"/>
      <c r="H51" s="98"/>
      <c r="I51" s="99"/>
      <c r="J51" s="98"/>
      <c r="K51" s="99"/>
      <c r="L51" s="98"/>
      <c r="M51" s="100"/>
      <c r="N51" s="98"/>
      <c r="O51" s="99"/>
      <c r="P51" s="98"/>
    </row>
    <row r="52" spans="1:26" s="95" customFormat="1" ht="13.2" x14ac:dyDescent="0.25">
      <c r="F52" s="98"/>
      <c r="G52" s="99"/>
      <c r="H52" s="98"/>
      <c r="I52" s="99"/>
      <c r="J52" s="98"/>
      <c r="K52" s="99"/>
      <c r="L52" s="98"/>
      <c r="M52" s="100"/>
      <c r="N52" s="98"/>
      <c r="O52" s="99"/>
      <c r="P52" s="98"/>
    </row>
    <row r="53" spans="1:26" s="95" customFormat="1" ht="13.2" x14ac:dyDescent="0.25"/>
    <row r="54" spans="1:26" s="95" customFormat="1" ht="13.2" x14ac:dyDescent="0.25"/>
    <row r="55" spans="1:26" s="95" customFormat="1" ht="13.2" x14ac:dyDescent="0.25">
      <c r="H55" s="99"/>
      <c r="I55" s="99"/>
    </row>
    <row r="56" spans="1:26" s="95" customFormat="1" ht="13.2" x14ac:dyDescent="0.25"/>
    <row r="57" spans="1:26" s="95" customFormat="1" ht="13.2" x14ac:dyDescent="0.25">
      <c r="A57" s="99"/>
      <c r="B57" s="99"/>
    </row>
    <row r="58" spans="1:26" s="95" customFormat="1" ht="13.2" x14ac:dyDescent="0.25"/>
    <row r="59" spans="1:26" s="95" customFormat="1" ht="13.2" x14ac:dyDescent="0.25">
      <c r="A59" s="99"/>
    </row>
    <row r="60" spans="1:26" s="95" customFormat="1" ht="13.2" x14ac:dyDescent="0.25">
      <c r="E60" s="101"/>
      <c r="F60" s="102"/>
    </row>
    <row r="61" spans="1:26" s="95" customFormat="1" ht="13.2" x14ac:dyDescent="0.25">
      <c r="A61" s="99"/>
      <c r="B61" s="102"/>
      <c r="E61" s="101"/>
      <c r="F61" s="102"/>
    </row>
    <row r="62" spans="1:26" s="95" customFormat="1" ht="13.2" x14ac:dyDescent="0.25">
      <c r="E62" s="101"/>
    </row>
    <row r="63" spans="1:26" s="95" customFormat="1" ht="13.2" x14ac:dyDescent="0.25">
      <c r="A63" s="103"/>
      <c r="E63" s="101"/>
    </row>
    <row r="64" spans="1:26" s="95" customFormat="1" ht="13.2" x14ac:dyDescent="0.25">
      <c r="A64" s="102"/>
    </row>
    <row r="65" spans="1:12" s="95" customFormat="1" ht="13.2" x14ac:dyDescent="0.25">
      <c r="I65" s="172"/>
      <c r="J65" s="172"/>
      <c r="K65" s="172"/>
      <c r="L65" s="172"/>
    </row>
    <row r="66" spans="1:12" s="95" customFormat="1" ht="13.2" x14ac:dyDescent="0.25">
      <c r="J66" s="99"/>
    </row>
    <row r="67" spans="1:12" s="1" customFormat="1" x14ac:dyDescent="0.3">
      <c r="A67" s="29"/>
      <c r="D67" s="29"/>
      <c r="H67" s="28"/>
      <c r="J67" s="28"/>
    </row>
    <row r="68" spans="1:12" s="1" customFormat="1" x14ac:dyDescent="0.3">
      <c r="H68" s="28"/>
      <c r="J68" s="28"/>
    </row>
    <row r="69" spans="1:12" s="1" customFormat="1" x14ac:dyDescent="0.3">
      <c r="H69" s="30"/>
      <c r="I69" s="30"/>
      <c r="J69" s="30"/>
      <c r="K69" s="30"/>
    </row>
    <row r="70" spans="1:12" s="1" customFormat="1" x14ac:dyDescent="0.3">
      <c r="H70" s="30"/>
      <c r="I70" s="30"/>
      <c r="J70" s="30"/>
      <c r="K70" s="30"/>
    </row>
    <row r="71" spans="1:12" s="1" customFormat="1" x14ac:dyDescent="0.3"/>
    <row r="72" spans="1:12" s="1" customFormat="1" x14ac:dyDescent="0.3"/>
    <row r="73" spans="1:12" s="1" customFormat="1" x14ac:dyDescent="0.3"/>
    <row r="74" spans="1:12" s="1" customFormat="1" x14ac:dyDescent="0.3"/>
    <row r="75" spans="1:12" s="1" customFormat="1" x14ac:dyDescent="0.3"/>
  </sheetData>
  <mergeCells count="26">
    <mergeCell ref="F47:H47"/>
    <mergeCell ref="J47:L47"/>
    <mergeCell ref="N47:P47"/>
    <mergeCell ref="F36:H36"/>
    <mergeCell ref="J36:L36"/>
    <mergeCell ref="N36:P36"/>
    <mergeCell ref="U4:X4"/>
    <mergeCell ref="I65:J65"/>
    <mergeCell ref="K65:L65"/>
    <mergeCell ref="J4:L4"/>
    <mergeCell ref="J15:L15"/>
    <mergeCell ref="N4:P4"/>
    <mergeCell ref="N15:P15"/>
    <mergeCell ref="D1:G1"/>
    <mergeCell ref="F20:H20"/>
    <mergeCell ref="J20:L20"/>
    <mergeCell ref="N20:P20"/>
    <mergeCell ref="F31:H31"/>
    <mergeCell ref="J31:L31"/>
    <mergeCell ref="N31:P31"/>
    <mergeCell ref="A5:D5"/>
    <mergeCell ref="F4:H4"/>
    <mergeCell ref="F15:H15"/>
    <mergeCell ref="A2:H2"/>
    <mergeCell ref="A4:D4"/>
    <mergeCell ref="F5:H5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9"/>
  <sheetViews>
    <sheetView workbookViewId="0">
      <selection activeCell="L9" sqref="L9"/>
    </sheetView>
  </sheetViews>
  <sheetFormatPr defaultRowHeight="14.4" x14ac:dyDescent="0.3"/>
  <cols>
    <col min="1" max="1" width="20.109375" customWidth="1"/>
    <col min="2" max="2" width="15.88671875" customWidth="1"/>
    <col min="3" max="3" width="6.33203125" customWidth="1"/>
    <col min="4" max="4" width="24.33203125" customWidth="1"/>
    <col min="5" max="5" width="11.6640625" customWidth="1"/>
    <col min="6" max="6" width="6.33203125" customWidth="1"/>
    <col min="7" max="7" width="24.33203125" customWidth="1"/>
    <col min="8" max="8" width="13.5546875" customWidth="1"/>
    <col min="9" max="9" width="3.5546875" customWidth="1"/>
  </cols>
  <sheetData>
    <row r="1" spans="1:11" s="8" customFormat="1" ht="39.75" customHeight="1" x14ac:dyDescent="0.25">
      <c r="C1" s="134"/>
      <c r="D1" s="134"/>
      <c r="E1" s="134"/>
      <c r="F1" s="32"/>
    </row>
    <row r="2" spans="1:11" ht="15.6" x14ac:dyDescent="0.3">
      <c r="A2" s="137" t="s">
        <v>43</v>
      </c>
      <c r="B2" s="138"/>
      <c r="C2" s="138"/>
      <c r="D2" s="138"/>
    </row>
    <row r="3" spans="1:11" x14ac:dyDescent="0.3">
      <c r="K3" s="111" t="s">
        <v>126</v>
      </c>
    </row>
    <row r="4" spans="1:11" x14ac:dyDescent="0.3">
      <c r="A4" s="4" t="s">
        <v>14</v>
      </c>
      <c r="B4" s="5" t="s">
        <v>54</v>
      </c>
      <c r="D4" s="4" t="s">
        <v>14</v>
      </c>
      <c r="E4" s="5" t="s">
        <v>119</v>
      </c>
      <c r="G4" s="4" t="s">
        <v>14</v>
      </c>
      <c r="H4" s="5" t="s">
        <v>34</v>
      </c>
      <c r="K4" t="s">
        <v>125</v>
      </c>
    </row>
    <row r="5" spans="1:11" x14ac:dyDescent="0.3">
      <c r="A5" s="4" t="s">
        <v>15</v>
      </c>
      <c r="B5" s="26">
        <v>100</v>
      </c>
      <c r="D5" s="4" t="s">
        <v>15</v>
      </c>
      <c r="E5" s="26">
        <v>262</v>
      </c>
      <c r="G5" s="4" t="s">
        <v>15</v>
      </c>
      <c r="H5" s="26"/>
    </row>
    <row r="6" spans="1:11" x14ac:dyDescent="0.3">
      <c r="A6" s="4" t="s">
        <v>16</v>
      </c>
      <c r="B6" s="26">
        <v>20</v>
      </c>
      <c r="D6" s="4" t="s">
        <v>16</v>
      </c>
      <c r="E6" s="26">
        <v>41</v>
      </c>
      <c r="G6" s="4" t="s">
        <v>16</v>
      </c>
      <c r="H6" s="26"/>
    </row>
    <row r="7" spans="1:11" x14ac:dyDescent="0.3">
      <c r="A7" s="4" t="s">
        <v>17</v>
      </c>
      <c r="B7" s="26">
        <v>20</v>
      </c>
      <c r="D7" s="4" t="s">
        <v>37</v>
      </c>
      <c r="E7" s="26">
        <v>72</v>
      </c>
      <c r="G7" s="4" t="s">
        <v>17</v>
      </c>
      <c r="H7" s="26"/>
    </row>
    <row r="8" spans="1:11" x14ac:dyDescent="0.3">
      <c r="A8" s="4" t="s">
        <v>18</v>
      </c>
      <c r="B8" s="26">
        <v>30</v>
      </c>
      <c r="D8" s="4" t="s">
        <v>38</v>
      </c>
      <c r="E8" s="26">
        <v>73</v>
      </c>
      <c r="G8" s="4" t="s">
        <v>18</v>
      </c>
      <c r="H8" s="26"/>
    </row>
    <row r="9" spans="1:11" x14ac:dyDescent="0.3">
      <c r="A9" s="4" t="s">
        <v>19</v>
      </c>
      <c r="B9" s="26">
        <v>30</v>
      </c>
      <c r="D9" s="4" t="s">
        <v>39</v>
      </c>
      <c r="E9" s="26">
        <v>76</v>
      </c>
      <c r="G9" s="4" t="s">
        <v>19</v>
      </c>
      <c r="H9" s="26"/>
    </row>
    <row r="10" spans="1:11" x14ac:dyDescent="0.3">
      <c r="A10" s="3"/>
      <c r="B10" s="3"/>
      <c r="D10" s="3"/>
      <c r="E10" s="3"/>
      <c r="G10" s="3"/>
      <c r="H10" s="3"/>
    </row>
    <row r="11" spans="1:11" x14ac:dyDescent="0.3">
      <c r="A11" s="173" t="s">
        <v>23</v>
      </c>
      <c r="B11" s="174"/>
      <c r="D11" s="173" t="s">
        <v>23</v>
      </c>
      <c r="E11" s="174"/>
      <c r="G11" s="173" t="s">
        <v>23</v>
      </c>
      <c r="H11" s="174"/>
    </row>
    <row r="12" spans="1:11" x14ac:dyDescent="0.3">
      <c r="A12" s="3" t="s">
        <v>20</v>
      </c>
      <c r="B12" s="27">
        <f>((B7)/(SUM(B$7:B$9)))*B$6</f>
        <v>5</v>
      </c>
      <c r="D12" s="3" t="s">
        <v>20</v>
      </c>
      <c r="E12" s="27">
        <f>((E7)/(SUM(E$7:E$9)))*E$6</f>
        <v>13.357466063348417</v>
      </c>
      <c r="G12" s="3" t="s">
        <v>20</v>
      </c>
      <c r="H12" s="27" t="e">
        <f>((H7)/(SUM(H$7:H$9)))*H$6</f>
        <v>#DIV/0!</v>
      </c>
    </row>
    <row r="13" spans="1:11" x14ac:dyDescent="0.3">
      <c r="A13" s="3" t="s">
        <v>21</v>
      </c>
      <c r="B13" s="27">
        <f>((B8)/(SUM(B$7:B$9)))*B$6</f>
        <v>7.5</v>
      </c>
      <c r="D13" s="3" t="s">
        <v>21</v>
      </c>
      <c r="E13" s="27">
        <f>((E8)/(SUM(E$7:E$9)))*E$6</f>
        <v>13.542986425339366</v>
      </c>
      <c r="G13" s="3" t="s">
        <v>21</v>
      </c>
      <c r="H13" s="27" t="e">
        <f>((H8)/(SUM(H$7:H$9)))*H$6</f>
        <v>#DIV/0!</v>
      </c>
    </row>
    <row r="14" spans="1:11" x14ac:dyDescent="0.3">
      <c r="A14" s="3" t="s">
        <v>22</v>
      </c>
      <c r="B14" s="27">
        <f>((B9)/(SUM(B$7:B$9)))*B$6</f>
        <v>7.5</v>
      </c>
      <c r="D14" s="3" t="s">
        <v>22</v>
      </c>
      <c r="E14" s="27">
        <f>((E9)/(SUM(E$7:E$9)))*E$6</f>
        <v>14.099547511312217</v>
      </c>
      <c r="G14" s="3" t="s">
        <v>22</v>
      </c>
      <c r="H14" s="27" t="e">
        <f>((H9)/(SUM(H$7:H$9)))*H$6</f>
        <v>#DIV/0!</v>
      </c>
    </row>
    <row r="15" spans="1:11" x14ac:dyDescent="0.3">
      <c r="A15" s="3"/>
      <c r="B15" s="3"/>
      <c r="D15" s="3"/>
      <c r="E15" s="3"/>
      <c r="G15" s="3"/>
      <c r="H15" s="3"/>
    </row>
    <row r="16" spans="1:11" s="1" customFormat="1" x14ac:dyDescent="0.3"/>
    <row r="17" spans="1:8" s="1" customFormat="1" x14ac:dyDescent="0.3"/>
    <row r="18" spans="1:8" x14ac:dyDescent="0.3">
      <c r="A18" s="4" t="s">
        <v>14</v>
      </c>
      <c r="B18" s="5" t="s">
        <v>34</v>
      </c>
      <c r="D18" s="4" t="s">
        <v>14</v>
      </c>
      <c r="E18" s="5" t="s">
        <v>34</v>
      </c>
      <c r="G18" s="4" t="s">
        <v>14</v>
      </c>
      <c r="H18" s="5" t="s">
        <v>34</v>
      </c>
    </row>
    <row r="19" spans="1:8" x14ac:dyDescent="0.3">
      <c r="A19" s="4" t="s">
        <v>15</v>
      </c>
      <c r="B19" s="26"/>
      <c r="D19" s="4" t="s">
        <v>15</v>
      </c>
      <c r="E19" s="26"/>
      <c r="G19" s="4" t="s">
        <v>15</v>
      </c>
      <c r="H19" s="26"/>
    </row>
    <row r="20" spans="1:8" x14ac:dyDescent="0.3">
      <c r="A20" s="4" t="s">
        <v>16</v>
      </c>
      <c r="B20" s="26"/>
      <c r="D20" s="4" t="s">
        <v>16</v>
      </c>
      <c r="E20" s="26"/>
      <c r="G20" s="4" t="s">
        <v>16</v>
      </c>
      <c r="H20" s="26"/>
    </row>
    <row r="21" spans="1:8" x14ac:dyDescent="0.3">
      <c r="A21" s="4" t="s">
        <v>17</v>
      </c>
      <c r="B21" s="26"/>
      <c r="D21" s="4" t="s">
        <v>17</v>
      </c>
      <c r="E21" s="26"/>
      <c r="G21" s="4" t="s">
        <v>17</v>
      </c>
      <c r="H21" s="26"/>
    </row>
    <row r="22" spans="1:8" x14ac:dyDescent="0.3">
      <c r="A22" s="4" t="s">
        <v>18</v>
      </c>
      <c r="B22" s="26"/>
      <c r="D22" s="4" t="s">
        <v>18</v>
      </c>
      <c r="E22" s="26"/>
      <c r="G22" s="4" t="s">
        <v>18</v>
      </c>
      <c r="H22" s="26"/>
    </row>
    <row r="23" spans="1:8" x14ac:dyDescent="0.3">
      <c r="A23" s="4" t="s">
        <v>19</v>
      </c>
      <c r="B23" s="26"/>
      <c r="D23" s="4" t="s">
        <v>19</v>
      </c>
      <c r="E23" s="26"/>
      <c r="G23" s="4" t="s">
        <v>19</v>
      </c>
      <c r="H23" s="26"/>
    </row>
    <row r="24" spans="1:8" x14ac:dyDescent="0.3">
      <c r="A24" s="3"/>
      <c r="B24" s="3"/>
      <c r="D24" s="3"/>
      <c r="E24" s="3"/>
      <c r="G24" s="3"/>
      <c r="H24" s="3"/>
    </row>
    <row r="25" spans="1:8" x14ac:dyDescent="0.3">
      <c r="A25" s="173" t="s">
        <v>23</v>
      </c>
      <c r="B25" s="174"/>
      <c r="D25" s="173" t="s">
        <v>23</v>
      </c>
      <c r="E25" s="174"/>
      <c r="G25" s="173" t="s">
        <v>23</v>
      </c>
      <c r="H25" s="174"/>
    </row>
    <row r="26" spans="1:8" x14ac:dyDescent="0.3">
      <c r="A26" s="3" t="s">
        <v>20</v>
      </c>
      <c r="B26" s="27" t="e">
        <f>((B21)/(SUM(B$21:B$23)))*B$20</f>
        <v>#DIV/0!</v>
      </c>
      <c r="D26" s="3" t="s">
        <v>20</v>
      </c>
      <c r="E26" s="27" t="e">
        <f>((E21)/(SUM(E$21:E$23)))*E$20</f>
        <v>#DIV/0!</v>
      </c>
      <c r="G26" s="3" t="s">
        <v>20</v>
      </c>
      <c r="H26" s="27" t="e">
        <f>((H21)/(SUM(H$21:H$23)))*H$20</f>
        <v>#DIV/0!</v>
      </c>
    </row>
    <row r="27" spans="1:8" x14ac:dyDescent="0.3">
      <c r="A27" s="3" t="s">
        <v>21</v>
      </c>
      <c r="B27" s="27" t="e">
        <f>((B22)/(SUM(B$21:B$23)))*B$20</f>
        <v>#DIV/0!</v>
      </c>
      <c r="D27" s="3" t="s">
        <v>21</v>
      </c>
      <c r="E27" s="27" t="e">
        <f>((E22)/(SUM(E$21:E$23)))*E$20</f>
        <v>#DIV/0!</v>
      </c>
      <c r="G27" s="3" t="s">
        <v>21</v>
      </c>
      <c r="H27" s="27" t="e">
        <f>((H22)/(SUM(H$21:H$23)))*H$20</f>
        <v>#DIV/0!</v>
      </c>
    </row>
    <row r="28" spans="1:8" x14ac:dyDescent="0.3">
      <c r="A28" s="3" t="s">
        <v>22</v>
      </c>
      <c r="B28" s="27" t="e">
        <f>((B23)/(SUM(B$21:B$23)))*B$20</f>
        <v>#DIV/0!</v>
      </c>
      <c r="D28" s="3" t="s">
        <v>22</v>
      </c>
      <c r="E28" s="27" t="e">
        <f>((E23)/(SUM(E$21:E$23)))*E$20</f>
        <v>#DIV/0!</v>
      </c>
      <c r="G28" s="3" t="s">
        <v>22</v>
      </c>
      <c r="H28" s="27" t="e">
        <f>((H23)/(SUM(H$21:H$23)))*H$20</f>
        <v>#DIV/0!</v>
      </c>
    </row>
    <row r="29" spans="1:8" x14ac:dyDescent="0.3">
      <c r="A29" s="3"/>
      <c r="B29" s="3"/>
      <c r="D29" s="3"/>
      <c r="E29" s="3"/>
      <c r="G29" s="3"/>
      <c r="H29" s="3"/>
    </row>
  </sheetData>
  <mergeCells count="8">
    <mergeCell ref="A25:B25"/>
    <mergeCell ref="D25:E25"/>
    <mergeCell ref="G25:H25"/>
    <mergeCell ref="A2:D2"/>
    <mergeCell ref="C1:E1"/>
    <mergeCell ref="A11:B11"/>
    <mergeCell ref="D11:E11"/>
    <mergeCell ref="G11:H11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topLeftCell="B8" zoomScaleNormal="100" workbookViewId="0">
      <selection activeCell="G9" sqref="G9:G11"/>
    </sheetView>
  </sheetViews>
  <sheetFormatPr defaultRowHeight="14.4" x14ac:dyDescent="0.3"/>
  <cols>
    <col min="1" max="1" width="23.44140625" customWidth="1"/>
    <col min="2" max="2" width="13" customWidth="1"/>
    <col min="3" max="3" width="13.5546875" customWidth="1"/>
    <col min="5" max="5" width="15.6640625" customWidth="1"/>
    <col min="6" max="6" width="10.88671875" customWidth="1"/>
    <col min="7" max="7" width="11.44140625" customWidth="1"/>
  </cols>
  <sheetData>
    <row r="1" spans="1:7" ht="50.25" customHeight="1" x14ac:dyDescent="0.3">
      <c r="A1" s="175" t="s">
        <v>53</v>
      </c>
      <c r="B1" s="175"/>
      <c r="C1" s="175"/>
      <c r="D1" s="175"/>
      <c r="E1" s="175"/>
      <c r="F1" s="175"/>
      <c r="G1" s="175"/>
    </row>
    <row r="3" spans="1:7" x14ac:dyDescent="0.3">
      <c r="A3" s="4" t="s">
        <v>58</v>
      </c>
      <c r="B3" s="176" t="s">
        <v>110</v>
      </c>
      <c r="C3" s="176"/>
      <c r="D3" s="176"/>
      <c r="E3" s="176"/>
      <c r="F3" s="176"/>
      <c r="G3" s="176"/>
    </row>
    <row r="4" spans="1:7" x14ac:dyDescent="0.3">
      <c r="A4" s="4" t="s">
        <v>59</v>
      </c>
      <c r="B4" s="176" t="s">
        <v>111</v>
      </c>
      <c r="C4" s="176"/>
      <c r="D4" s="176"/>
      <c r="E4" s="176"/>
      <c r="F4" s="176"/>
      <c r="G4" s="176"/>
    </row>
    <row r="5" spans="1:7" x14ac:dyDescent="0.3">
      <c r="A5" s="4" t="s">
        <v>60</v>
      </c>
      <c r="B5" s="176" t="s">
        <v>112</v>
      </c>
      <c r="C5" s="176"/>
      <c r="D5" s="176"/>
      <c r="E5" s="176"/>
      <c r="F5" s="176"/>
      <c r="G5" s="176"/>
    </row>
    <row r="6" spans="1:7" x14ac:dyDescent="0.3">
      <c r="A6" s="4" t="s">
        <v>61</v>
      </c>
      <c r="B6" s="176"/>
      <c r="C6" s="176"/>
      <c r="D6" s="176"/>
      <c r="E6" s="176"/>
      <c r="F6" s="176"/>
      <c r="G6" s="176"/>
    </row>
    <row r="7" spans="1:7" x14ac:dyDescent="0.3">
      <c r="A7" s="111"/>
    </row>
    <row r="8" spans="1:7" ht="15.6" x14ac:dyDescent="0.3">
      <c r="A8" s="2" t="s">
        <v>50</v>
      </c>
      <c r="B8" s="113" t="s">
        <v>45</v>
      </c>
      <c r="C8" s="113" t="s">
        <v>46</v>
      </c>
      <c r="D8" s="113" t="s">
        <v>35</v>
      </c>
      <c r="E8" s="114" t="s">
        <v>47</v>
      </c>
      <c r="F8" s="114" t="s">
        <v>48</v>
      </c>
      <c r="G8" s="114" t="s">
        <v>49</v>
      </c>
    </row>
    <row r="9" spans="1:7" x14ac:dyDescent="0.3">
      <c r="A9" s="28" t="s">
        <v>115</v>
      </c>
      <c r="B9">
        <v>-0.04</v>
      </c>
      <c r="C9">
        <v>0.81</v>
      </c>
      <c r="D9">
        <v>73</v>
      </c>
      <c r="E9">
        <v>0.11</v>
      </c>
      <c r="F9">
        <v>0.8</v>
      </c>
      <c r="G9">
        <v>14</v>
      </c>
    </row>
    <row r="10" spans="1:7" x14ac:dyDescent="0.3">
      <c r="A10" s="28" t="s">
        <v>113</v>
      </c>
      <c r="B10">
        <v>-0.12</v>
      </c>
      <c r="C10">
        <v>0.82</v>
      </c>
      <c r="D10">
        <v>72</v>
      </c>
      <c r="E10">
        <v>0.11</v>
      </c>
      <c r="F10">
        <v>0.8</v>
      </c>
      <c r="G10">
        <v>13</v>
      </c>
    </row>
    <row r="11" spans="1:7" x14ac:dyDescent="0.3">
      <c r="A11" s="28" t="s">
        <v>114</v>
      </c>
      <c r="B11">
        <v>-0.23</v>
      </c>
      <c r="C11">
        <v>0.8</v>
      </c>
      <c r="D11">
        <v>76</v>
      </c>
      <c r="E11">
        <v>0.11</v>
      </c>
      <c r="F11">
        <v>0.8</v>
      </c>
      <c r="G11">
        <v>14</v>
      </c>
    </row>
    <row r="12" spans="1:7" x14ac:dyDescent="0.3">
      <c r="A12" s="28" t="s">
        <v>118</v>
      </c>
      <c r="B12">
        <v>-0.9</v>
      </c>
      <c r="C12">
        <v>1.84</v>
      </c>
      <c r="D12">
        <v>64</v>
      </c>
      <c r="E12">
        <v>7.0000000000000007E-2</v>
      </c>
      <c r="F12">
        <v>1.78</v>
      </c>
      <c r="G12">
        <v>63</v>
      </c>
    </row>
    <row r="13" spans="1:7" x14ac:dyDescent="0.3">
      <c r="A13" s="28" t="s">
        <v>116</v>
      </c>
      <c r="B13">
        <v>-0.43</v>
      </c>
      <c r="C13">
        <v>1.82</v>
      </c>
      <c r="D13">
        <v>60</v>
      </c>
      <c r="E13">
        <v>7.0000000000000007E-2</v>
      </c>
      <c r="F13">
        <v>1.78</v>
      </c>
      <c r="G13">
        <v>63</v>
      </c>
    </row>
    <row r="14" spans="1:7" x14ac:dyDescent="0.3">
      <c r="A14" s="28" t="s">
        <v>117</v>
      </c>
      <c r="B14">
        <v>-0.3</v>
      </c>
      <c r="C14">
        <v>1.82</v>
      </c>
      <c r="D14">
        <v>64</v>
      </c>
      <c r="E14">
        <v>7.0000000000000007E-2</v>
      </c>
      <c r="F14">
        <v>1.78</v>
      </c>
      <c r="G14">
        <v>63</v>
      </c>
    </row>
  </sheetData>
  <mergeCells count="5">
    <mergeCell ref="A1:G1"/>
    <mergeCell ref="B3:G3"/>
    <mergeCell ref="B4:G4"/>
    <mergeCell ref="B5:G5"/>
    <mergeCell ref="B6:G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Atalhos</vt:lpstr>
      <vt:lpstr>Ponderação de valores</vt:lpstr>
      <vt:lpstr>IC 95 para SD</vt:lpstr>
      <vt:lpstr>SE para SD</vt:lpstr>
      <vt:lpstr>IQR para SD</vt:lpstr>
      <vt:lpstr>Imputaçao SD Delta</vt:lpstr>
      <vt:lpstr>Distribuição de comparador</vt:lpstr>
      <vt:lpstr>Análise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Umpierre</cp:lastModifiedBy>
  <dcterms:created xsi:type="dcterms:W3CDTF">2013-03-04T15:43:02Z</dcterms:created>
  <dcterms:modified xsi:type="dcterms:W3CDTF">2021-07-14T12:13:47Z</dcterms:modified>
</cp:coreProperties>
</file>